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mc:AlternateContent xmlns:mc="http://schemas.openxmlformats.org/markup-compatibility/2006">
    <mc:Choice Requires="x15">
      <x15ac:absPath xmlns:x15ac="http://schemas.microsoft.com/office/spreadsheetml/2010/11/ac" url="D:\portfolio\phd-postdoc-position-tracker\"/>
    </mc:Choice>
  </mc:AlternateContent>
  <xr:revisionPtr revIDLastSave="0" documentId="13_ncr:1_{49542F48-41E9-45CB-9BA6-32ABBB756BEF}" xr6:coauthVersionLast="45" xr6:coauthVersionMax="45" xr10:uidLastSave="{00000000-0000-0000-0000-000000000000}"/>
  <bookViews>
    <workbookView xWindow="-108" yWindow="-108" windowWidth="23256" windowHeight="12456" xr2:uid="{00000000-000D-0000-FFFF-FFFF00000000}"/>
  </bookViews>
  <sheets>
    <sheet name="Dashboard" sheetId="1" r:id="rId1"/>
    <sheet name="Position Database" sheetId="2" r:id="rId2"/>
    <sheet name="Communication Tracker" sheetId="3" r:id="rId3"/>
    <sheet name="Response Management" sheetId="4" r:id="rId4"/>
    <sheet name="Follow-up Alerts" sheetId="5" r:id="rId5"/>
    <sheet name="Email Templates" sheetId="6" r:id="rId6"/>
    <sheet name="How It Works" sheetId="7" r:id="rId7"/>
  </sheets>
  <calcPr calcId="191029"/>
</workbook>
</file>

<file path=xl/calcChain.xml><?xml version="1.0" encoding="utf-8"?>
<calcChain xmlns="http://schemas.openxmlformats.org/spreadsheetml/2006/main">
  <c r="G200" i="5" l="1"/>
  <c r="G199" i="5"/>
  <c r="G198" i="5"/>
  <c r="G197" i="5"/>
  <c r="G196" i="5"/>
  <c r="E196" i="5"/>
  <c r="G195" i="5"/>
  <c r="G194" i="5"/>
  <c r="A194" i="5"/>
  <c r="G193" i="5"/>
  <c r="G192" i="5"/>
  <c r="G191" i="5"/>
  <c r="E191" i="5"/>
  <c r="G190" i="5"/>
  <c r="G189" i="5"/>
  <c r="G188" i="5"/>
  <c r="G187" i="5"/>
  <c r="G186" i="5"/>
  <c r="E186" i="5"/>
  <c r="G185" i="5"/>
  <c r="G184" i="5"/>
  <c r="G183" i="5"/>
  <c r="G182" i="5"/>
  <c r="G181" i="5"/>
  <c r="G180" i="5"/>
  <c r="G179" i="5"/>
  <c r="G178" i="5"/>
  <c r="G177" i="5"/>
  <c r="G176" i="5"/>
  <c r="E176" i="5"/>
  <c r="G175" i="5"/>
  <c r="G174" i="5"/>
  <c r="A174" i="5"/>
  <c r="G173" i="5"/>
  <c r="G172" i="5"/>
  <c r="G171" i="5"/>
  <c r="G170" i="5"/>
  <c r="G169" i="5"/>
  <c r="G168" i="5"/>
  <c r="G167" i="5"/>
  <c r="G166" i="5"/>
  <c r="G165" i="5"/>
  <c r="G164" i="5"/>
  <c r="G163" i="5"/>
  <c r="G162" i="5"/>
  <c r="G161" i="5"/>
  <c r="E161" i="5"/>
  <c r="G160" i="5"/>
  <c r="G159" i="5"/>
  <c r="G158" i="5"/>
  <c r="G157" i="5"/>
  <c r="G156" i="5"/>
  <c r="G155" i="5"/>
  <c r="G154" i="5"/>
  <c r="G153" i="5"/>
  <c r="G152" i="5"/>
  <c r="G151" i="5"/>
  <c r="G150" i="5"/>
  <c r="G149" i="5"/>
  <c r="G148" i="5"/>
  <c r="G147" i="5"/>
  <c r="G146" i="5"/>
  <c r="G145" i="5"/>
  <c r="G144" i="5"/>
  <c r="A144" i="5"/>
  <c r="G143" i="5"/>
  <c r="G142" i="5"/>
  <c r="G141" i="5"/>
  <c r="G140" i="5"/>
  <c r="G139" i="5"/>
  <c r="G138" i="5"/>
  <c r="G137" i="5"/>
  <c r="G136" i="5"/>
  <c r="G135" i="5"/>
  <c r="G134" i="5"/>
  <c r="G133" i="5"/>
  <c r="G132" i="5"/>
  <c r="G131" i="5"/>
  <c r="E131" i="5"/>
  <c r="G130" i="5"/>
  <c r="G129" i="5"/>
  <c r="G128" i="5"/>
  <c r="G127" i="5"/>
  <c r="G126" i="5"/>
  <c r="G125" i="5"/>
  <c r="G124" i="5"/>
  <c r="G123" i="5"/>
  <c r="G122" i="5"/>
  <c r="G121" i="5"/>
  <c r="G120" i="5"/>
  <c r="G119" i="5"/>
  <c r="A119" i="5"/>
  <c r="G118" i="5"/>
  <c r="G117" i="5"/>
  <c r="G116" i="5"/>
  <c r="E116" i="5"/>
  <c r="G115" i="5"/>
  <c r="G114" i="5"/>
  <c r="G113" i="5"/>
  <c r="G112" i="5"/>
  <c r="G111" i="5"/>
  <c r="G110" i="5"/>
  <c r="G109" i="5"/>
  <c r="G108" i="5"/>
  <c r="G107" i="5"/>
  <c r="G106" i="5"/>
  <c r="G105" i="5"/>
  <c r="G104" i="5"/>
  <c r="G103" i="5"/>
  <c r="G102" i="5"/>
  <c r="G101" i="5"/>
  <c r="E101" i="5"/>
  <c r="G100" i="5"/>
  <c r="G99" i="5"/>
  <c r="G98" i="5"/>
  <c r="G97" i="5"/>
  <c r="G96" i="5"/>
  <c r="G95" i="5"/>
  <c r="G94" i="5"/>
  <c r="G93" i="5"/>
  <c r="G92" i="5"/>
  <c r="G91" i="5"/>
  <c r="E91" i="5"/>
  <c r="G90" i="5"/>
  <c r="G89" i="5"/>
  <c r="G88" i="5"/>
  <c r="G87" i="5"/>
  <c r="G86" i="5"/>
  <c r="E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A44" i="5"/>
  <c r="G43" i="5"/>
  <c r="G42" i="5"/>
  <c r="G41" i="5"/>
  <c r="G40" i="5"/>
  <c r="G39" i="5"/>
  <c r="G38" i="5"/>
  <c r="G37" i="5"/>
  <c r="G36" i="5"/>
  <c r="G35" i="5"/>
  <c r="G34" i="5"/>
  <c r="G33" i="5"/>
  <c r="G32" i="5"/>
  <c r="G31" i="5"/>
  <c r="E31" i="5"/>
  <c r="G30" i="5"/>
  <c r="G29" i="5"/>
  <c r="G28" i="5"/>
  <c r="G27" i="5"/>
  <c r="G26" i="5"/>
  <c r="G25" i="5"/>
  <c r="G24" i="5"/>
  <c r="G23" i="5"/>
  <c r="G22" i="5"/>
  <c r="G21" i="5"/>
  <c r="G20" i="5"/>
  <c r="G19" i="5"/>
  <c r="G18" i="5"/>
  <c r="G17" i="5"/>
  <c r="G16" i="5"/>
  <c r="G15" i="5"/>
  <c r="G14" i="5"/>
  <c r="G13" i="5"/>
  <c r="G12" i="5"/>
  <c r="G11" i="5"/>
  <c r="G10" i="5"/>
  <c r="G9" i="5"/>
  <c r="G8" i="5"/>
  <c r="G7" i="5"/>
  <c r="G6" i="5"/>
  <c r="G5" i="5"/>
  <c r="G4" i="5"/>
  <c r="C119" i="4"/>
  <c r="B119" i="4"/>
  <c r="C118" i="4"/>
  <c r="B118" i="4"/>
  <c r="C117" i="4"/>
  <c r="B117" i="4"/>
  <c r="C116" i="4"/>
  <c r="B116" i="4"/>
  <c r="C115" i="4"/>
  <c r="B115" i="4"/>
  <c r="C114" i="4"/>
  <c r="B114" i="4"/>
  <c r="C113" i="4"/>
  <c r="B113" i="4"/>
  <c r="C112" i="4"/>
  <c r="B112" i="4"/>
  <c r="C111" i="4"/>
  <c r="B111" i="4"/>
  <c r="C110" i="4"/>
  <c r="B110" i="4"/>
  <c r="C109" i="4"/>
  <c r="B109" i="4"/>
  <c r="C108" i="4"/>
  <c r="B108" i="4"/>
  <c r="C107" i="4"/>
  <c r="B107" i="4"/>
  <c r="C106" i="4"/>
  <c r="B106" i="4"/>
  <c r="C105" i="4"/>
  <c r="B105" i="4"/>
  <c r="C104" i="4"/>
  <c r="B104" i="4"/>
  <c r="C103" i="4"/>
  <c r="B103" i="4"/>
  <c r="C102" i="4"/>
  <c r="B102" i="4"/>
  <c r="C101" i="4"/>
  <c r="B101" i="4"/>
  <c r="C100" i="4"/>
  <c r="B100" i="4"/>
  <c r="C99" i="4"/>
  <c r="B99" i="4"/>
  <c r="C98" i="4"/>
  <c r="B98" i="4"/>
  <c r="C97" i="4"/>
  <c r="B97" i="4"/>
  <c r="C96" i="4"/>
  <c r="B96" i="4"/>
  <c r="C95" i="4"/>
  <c r="B95" i="4"/>
  <c r="C94" i="4"/>
  <c r="B94" i="4"/>
  <c r="C93" i="4"/>
  <c r="B93" i="4"/>
  <c r="C92" i="4"/>
  <c r="B92" i="4"/>
  <c r="C91" i="4"/>
  <c r="B91" i="4"/>
  <c r="C90" i="4"/>
  <c r="B90" i="4"/>
  <c r="C89" i="4"/>
  <c r="B89" i="4"/>
  <c r="C88" i="4"/>
  <c r="B88" i="4"/>
  <c r="C87" i="4"/>
  <c r="B87" i="4"/>
  <c r="C86" i="4"/>
  <c r="B86" i="4"/>
  <c r="C85" i="4"/>
  <c r="B85" i="4"/>
  <c r="C84" i="4"/>
  <c r="B84" i="4"/>
  <c r="C83" i="4"/>
  <c r="B83" i="4"/>
  <c r="C82" i="4"/>
  <c r="B82" i="4"/>
  <c r="C81" i="4"/>
  <c r="B81" i="4"/>
  <c r="C80" i="4"/>
  <c r="B80" i="4"/>
  <c r="C79" i="4"/>
  <c r="B79" i="4"/>
  <c r="C78" i="4"/>
  <c r="B78" i="4"/>
  <c r="C77" i="4"/>
  <c r="B77" i="4"/>
  <c r="C76" i="4"/>
  <c r="B76" i="4"/>
  <c r="C75" i="4"/>
  <c r="B75" i="4"/>
  <c r="C74" i="4"/>
  <c r="B74" i="4"/>
  <c r="C73" i="4"/>
  <c r="B73" i="4"/>
  <c r="C72" i="4"/>
  <c r="B72" i="4"/>
  <c r="C71" i="4"/>
  <c r="B71" i="4"/>
  <c r="C70" i="4"/>
  <c r="B70" i="4"/>
  <c r="C69" i="4"/>
  <c r="B69" i="4"/>
  <c r="C68" i="4"/>
  <c r="B68" i="4"/>
  <c r="C67" i="4"/>
  <c r="B67" i="4"/>
  <c r="C66" i="4"/>
  <c r="B66" i="4"/>
  <c r="C65" i="4"/>
  <c r="B65" i="4"/>
  <c r="C64" i="4"/>
  <c r="B64" i="4"/>
  <c r="C63" i="4"/>
  <c r="B63" i="4"/>
  <c r="C62" i="4"/>
  <c r="B62" i="4"/>
  <c r="C61" i="4"/>
  <c r="B61" i="4"/>
  <c r="C60" i="4"/>
  <c r="B60" i="4"/>
  <c r="C59" i="4"/>
  <c r="B59" i="4"/>
  <c r="C58" i="4"/>
  <c r="B58" i="4"/>
  <c r="C57" i="4"/>
  <c r="B57" i="4"/>
  <c r="C56" i="4"/>
  <c r="B56" i="4"/>
  <c r="C55" i="4"/>
  <c r="B55" i="4"/>
  <c r="C54" i="4"/>
  <c r="B54" i="4"/>
  <c r="C53" i="4"/>
  <c r="B53" i="4"/>
  <c r="C52" i="4"/>
  <c r="B52" i="4"/>
  <c r="C51" i="4"/>
  <c r="B51" i="4"/>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21" i="4"/>
  <c r="B21" i="4"/>
  <c r="C20" i="4"/>
  <c r="B20" i="4"/>
  <c r="C19" i="4"/>
  <c r="B19" i="4"/>
  <c r="C18" i="4"/>
  <c r="B18" i="4"/>
  <c r="C17" i="4"/>
  <c r="B17" i="4"/>
  <c r="C16" i="4"/>
  <c r="B16" i="4"/>
  <c r="C15" i="4"/>
  <c r="B15" i="4"/>
  <c r="C14" i="4"/>
  <c r="B14" i="4"/>
  <c r="C13" i="4"/>
  <c r="B13" i="4"/>
  <c r="C12" i="4"/>
  <c r="B12" i="4"/>
  <c r="C11" i="4"/>
  <c r="B11" i="4"/>
  <c r="C10" i="4"/>
  <c r="B10" i="4"/>
  <c r="C9" i="4"/>
  <c r="B9" i="4"/>
  <c r="C8" i="4"/>
  <c r="B8" i="4"/>
  <c r="C7" i="4"/>
  <c r="B7" i="4"/>
  <c r="C6" i="4"/>
  <c r="B6" i="4"/>
  <c r="C5" i="4"/>
  <c r="B5" i="4"/>
  <c r="C4" i="4"/>
  <c r="B4" i="4"/>
  <c r="L200" i="3"/>
  <c r="D200" i="3"/>
  <c r="C200" i="3"/>
  <c r="C200" i="5" s="1"/>
  <c r="B200" i="3"/>
  <c r="H200" i="5" s="1"/>
  <c r="M199" i="3"/>
  <c r="L199" i="3"/>
  <c r="E199" i="5" s="1"/>
  <c r="D199" i="3"/>
  <c r="C199" i="3"/>
  <c r="C199" i="5" s="1"/>
  <c r="B199" i="3"/>
  <c r="N198" i="3"/>
  <c r="F198" i="5" s="1"/>
  <c r="M198" i="3"/>
  <c r="L198" i="3"/>
  <c r="E198" i="5" s="1"/>
  <c r="D198" i="3"/>
  <c r="C198" i="3"/>
  <c r="C198" i="5" s="1"/>
  <c r="B198" i="3"/>
  <c r="M197" i="3"/>
  <c r="L197" i="3"/>
  <c r="D197" i="3"/>
  <c r="C197" i="3"/>
  <c r="C197" i="5" s="1"/>
  <c r="B197" i="3"/>
  <c r="N196" i="3"/>
  <c r="F196" i="5" s="1"/>
  <c r="M196" i="3"/>
  <c r="L196" i="3"/>
  <c r="D196" i="3"/>
  <c r="C196" i="3"/>
  <c r="C196" i="5" s="1"/>
  <c r="B196" i="3"/>
  <c r="H196" i="5" s="1"/>
  <c r="N195" i="3"/>
  <c r="F195" i="5" s="1"/>
  <c r="M195" i="3"/>
  <c r="L195" i="3"/>
  <c r="E195" i="5" s="1"/>
  <c r="D195" i="3"/>
  <c r="C195" i="3"/>
  <c r="C195" i="5" s="1"/>
  <c r="B195" i="3"/>
  <c r="H195" i="5" s="1"/>
  <c r="N194" i="3"/>
  <c r="F194" i="5" s="1"/>
  <c r="M194" i="3"/>
  <c r="L194" i="3"/>
  <c r="E194" i="5" s="1"/>
  <c r="D194" i="3"/>
  <c r="C194" i="3"/>
  <c r="C194" i="5" s="1"/>
  <c r="B194" i="3"/>
  <c r="H194" i="5" s="1"/>
  <c r="L193" i="3"/>
  <c r="D193" i="3"/>
  <c r="C193" i="3"/>
  <c r="C193" i="5" s="1"/>
  <c r="B193" i="3"/>
  <c r="N192" i="3"/>
  <c r="F192" i="5" s="1"/>
  <c r="M192" i="3"/>
  <c r="D192" i="5" s="1"/>
  <c r="L192" i="3"/>
  <c r="E192" i="5" s="1"/>
  <c r="D192" i="3"/>
  <c r="C192" i="3"/>
  <c r="C192" i="5" s="1"/>
  <c r="B192" i="3"/>
  <c r="H192" i="5" s="1"/>
  <c r="N191" i="3"/>
  <c r="F191" i="5" s="1"/>
  <c r="M191" i="3"/>
  <c r="D191" i="5" s="1"/>
  <c r="L191" i="3"/>
  <c r="D191" i="3"/>
  <c r="C191" i="3"/>
  <c r="C191" i="5" s="1"/>
  <c r="B191" i="3"/>
  <c r="L190" i="3"/>
  <c r="D190" i="3"/>
  <c r="C190" i="3"/>
  <c r="C190" i="5" s="1"/>
  <c r="B190" i="3"/>
  <c r="L189" i="3"/>
  <c r="D189" i="3"/>
  <c r="C189" i="3"/>
  <c r="C189" i="5" s="1"/>
  <c r="B189" i="3"/>
  <c r="N188" i="3"/>
  <c r="F188" i="5" s="1"/>
  <c r="M188" i="3"/>
  <c r="L188" i="3"/>
  <c r="E188" i="5" s="1"/>
  <c r="D188" i="3"/>
  <c r="C188" i="3"/>
  <c r="C188" i="5" s="1"/>
  <c r="B188" i="3"/>
  <c r="N187" i="3"/>
  <c r="F187" i="5" s="1"/>
  <c r="M187" i="3"/>
  <c r="D187" i="5" s="1"/>
  <c r="L187" i="3"/>
  <c r="E187" i="5" s="1"/>
  <c r="D187" i="3"/>
  <c r="C187" i="3"/>
  <c r="C187" i="5" s="1"/>
  <c r="B187" i="3"/>
  <c r="L186" i="3"/>
  <c r="N186" i="3" s="1"/>
  <c r="F186" i="5" s="1"/>
  <c r="D186" i="3"/>
  <c r="C186" i="3"/>
  <c r="C186" i="5" s="1"/>
  <c r="B186" i="3"/>
  <c r="N185" i="3"/>
  <c r="F185" i="5" s="1"/>
  <c r="M185" i="3"/>
  <c r="D185" i="5" s="1"/>
  <c r="L185" i="3"/>
  <c r="E185" i="5" s="1"/>
  <c r="D185" i="3"/>
  <c r="C185" i="3"/>
  <c r="C185" i="5" s="1"/>
  <c r="B185" i="3"/>
  <c r="L184" i="3"/>
  <c r="D184" i="3"/>
  <c r="C184" i="3"/>
  <c r="C184" i="5" s="1"/>
  <c r="B184" i="3"/>
  <c r="N183" i="3"/>
  <c r="F183" i="5" s="1"/>
  <c r="M183" i="3"/>
  <c r="D183" i="5" s="1"/>
  <c r="L183" i="3"/>
  <c r="E183" i="5" s="1"/>
  <c r="D183" i="3"/>
  <c r="C183" i="3"/>
  <c r="C183" i="5" s="1"/>
  <c r="B183" i="3"/>
  <c r="N182" i="3"/>
  <c r="F182" i="5" s="1"/>
  <c r="L182" i="3"/>
  <c r="D182" i="3"/>
  <c r="C182" i="3"/>
  <c r="C182" i="5" s="1"/>
  <c r="B182" i="3"/>
  <c r="M181" i="3"/>
  <c r="D181" i="5" s="1"/>
  <c r="L181" i="3"/>
  <c r="N181" i="3" s="1"/>
  <c r="F181" i="5" s="1"/>
  <c r="D181" i="3"/>
  <c r="C181" i="3"/>
  <c r="C181" i="5" s="1"/>
  <c r="B181" i="3"/>
  <c r="N180" i="3"/>
  <c r="F180" i="5" s="1"/>
  <c r="L180" i="3"/>
  <c r="D180" i="3"/>
  <c r="C180" i="3"/>
  <c r="C180" i="5" s="1"/>
  <c r="B180" i="3"/>
  <c r="L179" i="3"/>
  <c r="D179" i="3"/>
  <c r="C179" i="3"/>
  <c r="C179" i="5" s="1"/>
  <c r="B179" i="3"/>
  <c r="A179" i="5" s="1"/>
  <c r="N178" i="3"/>
  <c r="F178" i="5" s="1"/>
  <c r="M178" i="3"/>
  <c r="D178" i="5" s="1"/>
  <c r="L178" i="3"/>
  <c r="E178" i="5" s="1"/>
  <c r="D178" i="3"/>
  <c r="C178" i="3"/>
  <c r="C178" i="5" s="1"/>
  <c r="B178" i="3"/>
  <c r="M177" i="3"/>
  <c r="L177" i="3"/>
  <c r="D177" i="3"/>
  <c r="C177" i="3"/>
  <c r="C177" i="5" s="1"/>
  <c r="B177" i="3"/>
  <c r="N176" i="3"/>
  <c r="F176" i="5" s="1"/>
  <c r="L176" i="3"/>
  <c r="M176" i="3" s="1"/>
  <c r="D176" i="5" s="1"/>
  <c r="D176" i="3"/>
  <c r="C176" i="3"/>
  <c r="C176" i="5" s="1"/>
  <c r="B176" i="3"/>
  <c r="N175" i="3"/>
  <c r="F175" i="5" s="1"/>
  <c r="M175" i="3"/>
  <c r="D175" i="5" s="1"/>
  <c r="L175" i="3"/>
  <c r="E175" i="5" s="1"/>
  <c r="D175" i="3"/>
  <c r="C175" i="3"/>
  <c r="C175" i="5" s="1"/>
  <c r="B175" i="3"/>
  <c r="L174" i="3"/>
  <c r="D174" i="3"/>
  <c r="C174" i="3"/>
  <c r="C174" i="5" s="1"/>
  <c r="B174" i="3"/>
  <c r="N173" i="3"/>
  <c r="F173" i="5" s="1"/>
  <c r="L173" i="3"/>
  <c r="E173" i="5" s="1"/>
  <c r="D173" i="3"/>
  <c r="C173" i="3"/>
  <c r="C173" i="5" s="1"/>
  <c r="B173" i="3"/>
  <c r="N172" i="3"/>
  <c r="F172" i="5" s="1"/>
  <c r="M172" i="3"/>
  <c r="D172" i="5" s="1"/>
  <c r="L172" i="3"/>
  <c r="E172" i="5" s="1"/>
  <c r="D172" i="3"/>
  <c r="C172" i="3"/>
  <c r="C172" i="5" s="1"/>
  <c r="B172" i="3"/>
  <c r="N171" i="3"/>
  <c r="F171" i="5" s="1"/>
  <c r="M171" i="3"/>
  <c r="L171" i="3"/>
  <c r="E171" i="5" s="1"/>
  <c r="D171" i="3"/>
  <c r="C171" i="3"/>
  <c r="C171" i="5" s="1"/>
  <c r="B171" i="3"/>
  <c r="L170" i="3"/>
  <c r="D170" i="3"/>
  <c r="C170" i="3"/>
  <c r="C170" i="5" s="1"/>
  <c r="B170" i="3"/>
  <c r="L169" i="3"/>
  <c r="D169" i="3"/>
  <c r="C169" i="3"/>
  <c r="C169" i="5" s="1"/>
  <c r="B169" i="3"/>
  <c r="L168" i="3"/>
  <c r="N168" i="3" s="1"/>
  <c r="F168" i="5" s="1"/>
  <c r="D168" i="3"/>
  <c r="C168" i="3"/>
  <c r="C168" i="5" s="1"/>
  <c r="B168" i="3"/>
  <c r="L167" i="3"/>
  <c r="M167" i="3" s="1"/>
  <c r="D167" i="3"/>
  <c r="C167" i="3"/>
  <c r="C167" i="5" s="1"/>
  <c r="B167" i="3"/>
  <c r="M166" i="3"/>
  <c r="L166" i="3"/>
  <c r="E166" i="5" s="1"/>
  <c r="D166" i="3"/>
  <c r="C166" i="3"/>
  <c r="C166" i="5" s="1"/>
  <c r="B166" i="3"/>
  <c r="L165" i="3"/>
  <c r="M165" i="3" s="1"/>
  <c r="D165" i="3"/>
  <c r="C165" i="3"/>
  <c r="C165" i="5" s="1"/>
  <c r="B165" i="3"/>
  <c r="L164" i="3"/>
  <c r="E164" i="5" s="1"/>
  <c r="D164" i="3"/>
  <c r="C164" i="3"/>
  <c r="C164" i="5" s="1"/>
  <c r="B164" i="3"/>
  <c r="A164" i="5" s="1"/>
  <c r="N163" i="3"/>
  <c r="F163" i="5" s="1"/>
  <c r="L163" i="3"/>
  <c r="E163" i="5" s="1"/>
  <c r="D163" i="3"/>
  <c r="C163" i="3"/>
  <c r="C163" i="5" s="1"/>
  <c r="B163" i="3"/>
  <c r="M162" i="3"/>
  <c r="L162" i="3"/>
  <c r="E162" i="5" s="1"/>
  <c r="D162" i="3"/>
  <c r="C162" i="3"/>
  <c r="C162" i="5" s="1"/>
  <c r="B162" i="3"/>
  <c r="N161" i="3"/>
  <c r="F161" i="5" s="1"/>
  <c r="M161" i="3"/>
  <c r="D161" i="5" s="1"/>
  <c r="L161" i="3"/>
  <c r="D161" i="3"/>
  <c r="C161" i="3"/>
  <c r="C161" i="5" s="1"/>
  <c r="B161" i="3"/>
  <c r="L160" i="3"/>
  <c r="D160" i="3"/>
  <c r="C160" i="3"/>
  <c r="C160" i="5" s="1"/>
  <c r="B160" i="3"/>
  <c r="L159" i="3"/>
  <c r="E159" i="5" s="1"/>
  <c r="D159" i="3"/>
  <c r="C159" i="3"/>
  <c r="C159" i="5" s="1"/>
  <c r="B159" i="3"/>
  <c r="N158" i="3"/>
  <c r="F158" i="5" s="1"/>
  <c r="L158" i="3"/>
  <c r="E158" i="5" s="1"/>
  <c r="D158" i="3"/>
  <c r="C158" i="3"/>
  <c r="C158" i="5" s="1"/>
  <c r="B158" i="3"/>
  <c r="L157" i="3"/>
  <c r="D157" i="3"/>
  <c r="C157" i="3"/>
  <c r="C157" i="5" s="1"/>
  <c r="B157" i="3"/>
  <c r="N156" i="3"/>
  <c r="F156" i="5" s="1"/>
  <c r="M156" i="3"/>
  <c r="D156" i="5" s="1"/>
  <c r="L156" i="3"/>
  <c r="E156" i="5" s="1"/>
  <c r="D156" i="3"/>
  <c r="C156" i="3"/>
  <c r="C156" i="5" s="1"/>
  <c r="B156" i="3"/>
  <c r="L155" i="3"/>
  <c r="E155" i="5" s="1"/>
  <c r="D155" i="3"/>
  <c r="C155" i="3"/>
  <c r="C155" i="5" s="1"/>
  <c r="B155" i="3"/>
  <c r="L154" i="3"/>
  <c r="E154" i="5" s="1"/>
  <c r="D154" i="3"/>
  <c r="C154" i="3"/>
  <c r="C154" i="5" s="1"/>
  <c r="B154" i="3"/>
  <c r="Q153" i="3"/>
  <c r="N153" i="3"/>
  <c r="F153" i="5" s="1"/>
  <c r="M153" i="3"/>
  <c r="D153" i="5" s="1"/>
  <c r="L153" i="3"/>
  <c r="E153" i="5" s="1"/>
  <c r="D153" i="3"/>
  <c r="C153" i="3"/>
  <c r="C153" i="5" s="1"/>
  <c r="B153" i="3"/>
  <c r="N152" i="3"/>
  <c r="F152" i="5" s="1"/>
  <c r="M152" i="3"/>
  <c r="D152" i="5" s="1"/>
  <c r="L152" i="3"/>
  <c r="E152" i="5" s="1"/>
  <c r="D152" i="3"/>
  <c r="C152" i="3"/>
  <c r="C152" i="5" s="1"/>
  <c r="B152" i="3"/>
  <c r="N151" i="3"/>
  <c r="F151" i="5" s="1"/>
  <c r="M151" i="3"/>
  <c r="D151" i="5" s="1"/>
  <c r="L151" i="3"/>
  <c r="E151" i="5" s="1"/>
  <c r="D151" i="3"/>
  <c r="C151" i="3"/>
  <c r="C151" i="5" s="1"/>
  <c r="B151" i="3"/>
  <c r="L150" i="3"/>
  <c r="D150" i="3"/>
  <c r="C150" i="3"/>
  <c r="C150" i="5" s="1"/>
  <c r="B150" i="3"/>
  <c r="L149" i="3"/>
  <c r="D149" i="3"/>
  <c r="C149" i="3"/>
  <c r="C149" i="5" s="1"/>
  <c r="B149" i="3"/>
  <c r="N148" i="3"/>
  <c r="F148" i="5" s="1"/>
  <c r="L148" i="3"/>
  <c r="D148" i="3"/>
  <c r="C148" i="3"/>
  <c r="C148" i="5" s="1"/>
  <c r="B148" i="3"/>
  <c r="L147" i="3"/>
  <c r="M147" i="3" s="1"/>
  <c r="D147" i="3"/>
  <c r="C147" i="3"/>
  <c r="C147" i="5" s="1"/>
  <c r="B147" i="3"/>
  <c r="M146" i="3"/>
  <c r="L146" i="3"/>
  <c r="N146" i="3" s="1"/>
  <c r="F146" i="5" s="1"/>
  <c r="D146" i="3"/>
  <c r="C146" i="3"/>
  <c r="C146" i="5" s="1"/>
  <c r="B146" i="3"/>
  <c r="M145" i="3"/>
  <c r="D145" i="5" s="1"/>
  <c r="L145" i="3"/>
  <c r="D145" i="3"/>
  <c r="C145" i="3"/>
  <c r="C145" i="5" s="1"/>
  <c r="B145" i="3"/>
  <c r="L144" i="3"/>
  <c r="E144" i="5" s="1"/>
  <c r="D144" i="3"/>
  <c r="C144" i="3"/>
  <c r="C144" i="5" s="1"/>
  <c r="B144" i="3"/>
  <c r="N143" i="3"/>
  <c r="F143" i="5" s="1"/>
  <c r="L143" i="3"/>
  <c r="E143" i="5" s="1"/>
  <c r="D143" i="3"/>
  <c r="C143" i="3"/>
  <c r="C143" i="5" s="1"/>
  <c r="B143" i="3"/>
  <c r="N142" i="3"/>
  <c r="F142" i="5" s="1"/>
  <c r="L142" i="3"/>
  <c r="E142" i="5" s="1"/>
  <c r="D142" i="3"/>
  <c r="C142" i="3"/>
  <c r="C142" i="5" s="1"/>
  <c r="B142" i="3"/>
  <c r="N141" i="3"/>
  <c r="F141" i="5" s="1"/>
  <c r="M141" i="3"/>
  <c r="D141" i="5" s="1"/>
  <c r="L141" i="3"/>
  <c r="E141" i="5" s="1"/>
  <c r="D141" i="3"/>
  <c r="C141" i="3"/>
  <c r="C141" i="5" s="1"/>
  <c r="B141" i="3"/>
  <c r="L140" i="3"/>
  <c r="D140" i="3"/>
  <c r="C140" i="3"/>
  <c r="C140" i="5" s="1"/>
  <c r="B140" i="3"/>
  <c r="N139" i="3"/>
  <c r="F139" i="5" s="1"/>
  <c r="M139" i="3"/>
  <c r="D139" i="5" s="1"/>
  <c r="L139" i="3"/>
  <c r="E139" i="5" s="1"/>
  <c r="D139" i="3"/>
  <c r="C139" i="3"/>
  <c r="C139" i="5" s="1"/>
  <c r="B139" i="3"/>
  <c r="N138" i="3"/>
  <c r="F138" i="5" s="1"/>
  <c r="L138" i="3"/>
  <c r="E138" i="5" s="1"/>
  <c r="D138" i="3"/>
  <c r="C138" i="3"/>
  <c r="C138" i="5" s="1"/>
  <c r="B138" i="3"/>
  <c r="L137" i="3"/>
  <c r="M137" i="3" s="1"/>
  <c r="D137" i="3"/>
  <c r="C137" i="3"/>
  <c r="C137" i="5" s="1"/>
  <c r="B137" i="3"/>
  <c r="L136" i="3"/>
  <c r="E136" i="5" s="1"/>
  <c r="D136" i="3"/>
  <c r="C136" i="3"/>
  <c r="C136" i="5" s="1"/>
  <c r="B136" i="3"/>
  <c r="L135" i="3"/>
  <c r="E135" i="5" s="1"/>
  <c r="D135" i="3"/>
  <c r="C135" i="3"/>
  <c r="C135" i="5" s="1"/>
  <c r="B135" i="3"/>
  <c r="L134" i="3"/>
  <c r="E134" i="5" s="1"/>
  <c r="D134" i="3"/>
  <c r="C134" i="3"/>
  <c r="C134" i="5" s="1"/>
  <c r="B134" i="3"/>
  <c r="N133" i="3"/>
  <c r="F133" i="5" s="1"/>
  <c r="M133" i="3"/>
  <c r="D133" i="5" s="1"/>
  <c r="L133" i="3"/>
  <c r="E133" i="5" s="1"/>
  <c r="D133" i="3"/>
  <c r="C133" i="3"/>
  <c r="C133" i="5" s="1"/>
  <c r="B133" i="3"/>
  <c r="N132" i="3"/>
  <c r="F132" i="5" s="1"/>
  <c r="M132" i="3"/>
  <c r="D132" i="5" s="1"/>
  <c r="L132" i="3"/>
  <c r="E132" i="5" s="1"/>
  <c r="D132" i="3"/>
  <c r="C132" i="3"/>
  <c r="C132" i="5" s="1"/>
  <c r="B132" i="3"/>
  <c r="N131" i="3"/>
  <c r="F131" i="5" s="1"/>
  <c r="M131" i="3"/>
  <c r="D131" i="5" s="1"/>
  <c r="L131" i="3"/>
  <c r="D131" i="3"/>
  <c r="C131" i="3"/>
  <c r="C131" i="5" s="1"/>
  <c r="B131" i="3"/>
  <c r="L130" i="3"/>
  <c r="N130" i="3" s="1"/>
  <c r="F130" i="5" s="1"/>
  <c r="D130" i="3"/>
  <c r="C130" i="3"/>
  <c r="C130" i="5" s="1"/>
  <c r="B130" i="3"/>
  <c r="L129" i="3"/>
  <c r="D129" i="3"/>
  <c r="C129" i="3"/>
  <c r="C129" i="5" s="1"/>
  <c r="B129" i="3"/>
  <c r="L128" i="3"/>
  <c r="D128" i="3"/>
  <c r="C128" i="3"/>
  <c r="C128" i="5" s="1"/>
  <c r="B128" i="3"/>
  <c r="L127" i="3"/>
  <c r="D127" i="3"/>
  <c r="C127" i="3"/>
  <c r="C127" i="5" s="1"/>
  <c r="B127" i="3"/>
  <c r="M126" i="3"/>
  <c r="L126" i="3"/>
  <c r="E126" i="5" s="1"/>
  <c r="D126" i="3"/>
  <c r="C126" i="3"/>
  <c r="C126" i="5" s="1"/>
  <c r="B126" i="3"/>
  <c r="L125" i="3"/>
  <c r="M125" i="3" s="1"/>
  <c r="D125" i="3"/>
  <c r="C125" i="3"/>
  <c r="C125" i="5" s="1"/>
  <c r="B125" i="3"/>
  <c r="N124" i="3"/>
  <c r="F124" i="5" s="1"/>
  <c r="L124" i="3"/>
  <c r="E124" i="5" s="1"/>
  <c r="D124" i="3"/>
  <c r="C124" i="3"/>
  <c r="C124" i="5" s="1"/>
  <c r="B124" i="3"/>
  <c r="N123" i="3"/>
  <c r="F123" i="5" s="1"/>
  <c r="L123" i="3"/>
  <c r="E123" i="5" s="1"/>
  <c r="D123" i="3"/>
  <c r="C123" i="3"/>
  <c r="C123" i="5" s="1"/>
  <c r="B123" i="3"/>
  <c r="L122" i="3"/>
  <c r="E122" i="5" s="1"/>
  <c r="D122" i="3"/>
  <c r="C122" i="3"/>
  <c r="C122" i="5" s="1"/>
  <c r="B122" i="3"/>
  <c r="N121" i="3"/>
  <c r="F121" i="5" s="1"/>
  <c r="M121" i="3"/>
  <c r="D121" i="5" s="1"/>
  <c r="L121" i="3"/>
  <c r="E121" i="5" s="1"/>
  <c r="D121" i="3"/>
  <c r="C121" i="3"/>
  <c r="C121" i="5" s="1"/>
  <c r="B121" i="3"/>
  <c r="L120" i="3"/>
  <c r="D120" i="3"/>
  <c r="C120" i="3"/>
  <c r="C120" i="5" s="1"/>
  <c r="B120" i="3"/>
  <c r="L119" i="3"/>
  <c r="E119" i="5" s="1"/>
  <c r="D119" i="3"/>
  <c r="C119" i="3"/>
  <c r="C119" i="5" s="1"/>
  <c r="B119" i="3"/>
  <c r="N118" i="3"/>
  <c r="F118" i="5" s="1"/>
  <c r="L118" i="3"/>
  <c r="E118" i="5" s="1"/>
  <c r="D118" i="3"/>
  <c r="C118" i="3"/>
  <c r="C118" i="5" s="1"/>
  <c r="B118" i="3"/>
  <c r="L117" i="3"/>
  <c r="M117" i="3" s="1"/>
  <c r="D117" i="3"/>
  <c r="C117" i="3"/>
  <c r="C117" i="5" s="1"/>
  <c r="B117" i="3"/>
  <c r="N116" i="3"/>
  <c r="F116" i="5" s="1"/>
  <c r="M116" i="3"/>
  <c r="D116" i="5" s="1"/>
  <c r="L116" i="3"/>
  <c r="D116" i="3"/>
  <c r="C116" i="3"/>
  <c r="C116" i="5" s="1"/>
  <c r="B116" i="3"/>
  <c r="L115" i="3"/>
  <c r="E115" i="5" s="1"/>
  <c r="D115" i="3"/>
  <c r="C115" i="3"/>
  <c r="C115" i="5" s="1"/>
  <c r="B115" i="3"/>
  <c r="N114" i="3"/>
  <c r="F114" i="5" s="1"/>
  <c r="M114" i="3"/>
  <c r="L114" i="3"/>
  <c r="E114" i="5" s="1"/>
  <c r="D114" i="3"/>
  <c r="C114" i="3"/>
  <c r="C114" i="5" s="1"/>
  <c r="B114" i="3"/>
  <c r="N113" i="3"/>
  <c r="F113" i="5" s="1"/>
  <c r="M113" i="3"/>
  <c r="D113" i="5" s="1"/>
  <c r="L113" i="3"/>
  <c r="E113" i="5" s="1"/>
  <c r="D113" i="3"/>
  <c r="C113" i="3"/>
  <c r="C113" i="5" s="1"/>
  <c r="B113" i="3"/>
  <c r="N112" i="3"/>
  <c r="F112" i="5" s="1"/>
  <c r="M112" i="3"/>
  <c r="D112" i="5" s="1"/>
  <c r="L112" i="3"/>
  <c r="E112" i="5" s="1"/>
  <c r="D112" i="3"/>
  <c r="C112" i="3"/>
  <c r="C112" i="5" s="1"/>
  <c r="B112" i="3"/>
  <c r="N111" i="3"/>
  <c r="F111" i="5" s="1"/>
  <c r="M111" i="3"/>
  <c r="D111" i="5" s="1"/>
  <c r="L111" i="3"/>
  <c r="E111" i="5" s="1"/>
  <c r="D111" i="3"/>
  <c r="C111" i="3"/>
  <c r="C111" i="5" s="1"/>
  <c r="B111" i="3"/>
  <c r="L110" i="3"/>
  <c r="N110" i="3" s="1"/>
  <c r="F110" i="5" s="1"/>
  <c r="D110" i="3"/>
  <c r="C110" i="3"/>
  <c r="C110" i="5" s="1"/>
  <c r="B110" i="3"/>
  <c r="L109" i="3"/>
  <c r="D109" i="3"/>
  <c r="C109" i="3"/>
  <c r="C109" i="5" s="1"/>
  <c r="B109" i="3"/>
  <c r="N108" i="3"/>
  <c r="F108" i="5" s="1"/>
  <c r="L108" i="3"/>
  <c r="D108" i="3"/>
  <c r="C108" i="3"/>
  <c r="C108" i="5" s="1"/>
  <c r="B108" i="3"/>
  <c r="L107" i="3"/>
  <c r="M107" i="3" s="1"/>
  <c r="D107" i="3"/>
  <c r="C107" i="3"/>
  <c r="C107" i="5" s="1"/>
  <c r="B107" i="3"/>
  <c r="M106" i="3"/>
  <c r="L106" i="3"/>
  <c r="N106" i="3" s="1"/>
  <c r="F106" i="5" s="1"/>
  <c r="D106" i="3"/>
  <c r="C106" i="3"/>
  <c r="C106" i="5" s="1"/>
  <c r="B106" i="3"/>
  <c r="M105" i="3"/>
  <c r="D105" i="5" s="1"/>
  <c r="L105" i="3"/>
  <c r="D105" i="3"/>
  <c r="C105" i="3"/>
  <c r="C105" i="5" s="1"/>
  <c r="B105" i="3"/>
  <c r="L104" i="3"/>
  <c r="E104" i="5" s="1"/>
  <c r="D104" i="3"/>
  <c r="C104" i="3"/>
  <c r="C104" i="5" s="1"/>
  <c r="B104" i="3"/>
  <c r="A104" i="5" s="1"/>
  <c r="N103" i="3"/>
  <c r="F103" i="5" s="1"/>
  <c r="L103" i="3"/>
  <c r="E103" i="5" s="1"/>
  <c r="D103" i="3"/>
  <c r="C103" i="3"/>
  <c r="C103" i="5" s="1"/>
  <c r="B103" i="3"/>
  <c r="N102" i="3"/>
  <c r="F102" i="5" s="1"/>
  <c r="L102" i="3"/>
  <c r="E102" i="5" s="1"/>
  <c r="D102" i="3"/>
  <c r="C102" i="3"/>
  <c r="C102" i="5" s="1"/>
  <c r="B102" i="3"/>
  <c r="N101" i="3"/>
  <c r="F101" i="5" s="1"/>
  <c r="M101" i="3"/>
  <c r="D101" i="5" s="1"/>
  <c r="L101" i="3"/>
  <c r="D101" i="3"/>
  <c r="C101" i="3"/>
  <c r="C101" i="5" s="1"/>
  <c r="B101" i="3"/>
  <c r="L100" i="3"/>
  <c r="D100" i="3"/>
  <c r="C100" i="3"/>
  <c r="C100" i="5" s="1"/>
  <c r="B100" i="3"/>
  <c r="N99" i="3"/>
  <c r="F99" i="5" s="1"/>
  <c r="M99" i="3"/>
  <c r="D99" i="5" s="1"/>
  <c r="L99" i="3"/>
  <c r="E99" i="5" s="1"/>
  <c r="D99" i="3"/>
  <c r="C99" i="3"/>
  <c r="C99" i="5" s="1"/>
  <c r="B99" i="3"/>
  <c r="N98" i="3"/>
  <c r="F98" i="5" s="1"/>
  <c r="M98" i="3"/>
  <c r="D98" i="5" s="1"/>
  <c r="L98" i="3"/>
  <c r="E98" i="5" s="1"/>
  <c r="D98" i="3"/>
  <c r="C98" i="3"/>
  <c r="C98" i="5" s="1"/>
  <c r="B98" i="3"/>
  <c r="L97" i="3"/>
  <c r="D97" i="3"/>
  <c r="C97" i="3"/>
  <c r="C97" i="5" s="1"/>
  <c r="B97" i="3"/>
  <c r="L96" i="3"/>
  <c r="E96" i="5" s="1"/>
  <c r="D96" i="3"/>
  <c r="C96" i="3"/>
  <c r="C96" i="5" s="1"/>
  <c r="B96" i="3"/>
  <c r="N95" i="3"/>
  <c r="F95" i="5" s="1"/>
  <c r="L95" i="3"/>
  <c r="E95" i="5" s="1"/>
  <c r="D95" i="3"/>
  <c r="C95" i="3"/>
  <c r="C95" i="5" s="1"/>
  <c r="B95" i="3"/>
  <c r="N94" i="3"/>
  <c r="F94" i="5" s="1"/>
  <c r="M94" i="3"/>
  <c r="L94" i="3"/>
  <c r="E94" i="5" s="1"/>
  <c r="D94" i="3"/>
  <c r="C94" i="3"/>
  <c r="C94" i="5" s="1"/>
  <c r="B94" i="3"/>
  <c r="N93" i="3"/>
  <c r="F93" i="5" s="1"/>
  <c r="M93" i="3"/>
  <c r="D93" i="5" s="1"/>
  <c r="L93" i="3"/>
  <c r="E93" i="5" s="1"/>
  <c r="D93" i="3"/>
  <c r="C93" i="3"/>
  <c r="C93" i="5" s="1"/>
  <c r="B93" i="3"/>
  <c r="Q92" i="3"/>
  <c r="N92" i="3"/>
  <c r="F92" i="5" s="1"/>
  <c r="M92" i="3"/>
  <c r="D92" i="5" s="1"/>
  <c r="L92" i="3"/>
  <c r="E92" i="5" s="1"/>
  <c r="D92" i="3"/>
  <c r="C92" i="3"/>
  <c r="C92" i="5" s="1"/>
  <c r="B92" i="3"/>
  <c r="N91" i="3"/>
  <c r="F91" i="5" s="1"/>
  <c r="M91" i="3"/>
  <c r="D91" i="5" s="1"/>
  <c r="L91" i="3"/>
  <c r="D91" i="3"/>
  <c r="C91" i="3"/>
  <c r="C91" i="5" s="1"/>
  <c r="B91" i="3"/>
  <c r="L90" i="3"/>
  <c r="N90" i="3" s="1"/>
  <c r="F90" i="5" s="1"/>
  <c r="D90" i="3"/>
  <c r="C90" i="3"/>
  <c r="C90" i="5" s="1"/>
  <c r="B90" i="3"/>
  <c r="L89" i="3"/>
  <c r="D89" i="3"/>
  <c r="C89" i="3"/>
  <c r="C89" i="5" s="1"/>
  <c r="B89" i="3"/>
  <c r="N88" i="3"/>
  <c r="F88" i="5" s="1"/>
  <c r="L88" i="3"/>
  <c r="D88" i="3"/>
  <c r="C88" i="3"/>
  <c r="C88" i="5" s="1"/>
  <c r="B88" i="3"/>
  <c r="L87" i="3"/>
  <c r="D87" i="3"/>
  <c r="C87" i="3"/>
  <c r="C87" i="5" s="1"/>
  <c r="B87" i="3"/>
  <c r="M86" i="3"/>
  <c r="L86" i="3"/>
  <c r="N86" i="3" s="1"/>
  <c r="F86" i="5" s="1"/>
  <c r="D86" i="3"/>
  <c r="C86" i="3"/>
  <c r="C86" i="5" s="1"/>
  <c r="B86" i="3"/>
  <c r="L85" i="3"/>
  <c r="D85" i="3"/>
  <c r="C85" i="3"/>
  <c r="C85" i="5" s="1"/>
  <c r="B85" i="3"/>
  <c r="N84" i="3"/>
  <c r="F84" i="5" s="1"/>
  <c r="M84" i="3"/>
  <c r="L84" i="3"/>
  <c r="E84" i="5" s="1"/>
  <c r="D84" i="3"/>
  <c r="C84" i="3"/>
  <c r="C84" i="5" s="1"/>
  <c r="B84" i="3"/>
  <c r="N83" i="3"/>
  <c r="F83" i="5" s="1"/>
  <c r="L83" i="3"/>
  <c r="E83" i="5" s="1"/>
  <c r="D83" i="3"/>
  <c r="C83" i="3"/>
  <c r="C83" i="5" s="1"/>
  <c r="B83" i="3"/>
  <c r="L82" i="3"/>
  <c r="E82" i="5" s="1"/>
  <c r="D82" i="3"/>
  <c r="C82" i="3"/>
  <c r="C82" i="5" s="1"/>
  <c r="B82" i="3"/>
  <c r="L81" i="3"/>
  <c r="E81" i="5" s="1"/>
  <c r="D81" i="3"/>
  <c r="C81" i="3"/>
  <c r="C81" i="5" s="1"/>
  <c r="B81" i="3"/>
  <c r="L80" i="3"/>
  <c r="D80" i="3"/>
  <c r="C80" i="3"/>
  <c r="C80" i="5" s="1"/>
  <c r="B80" i="3"/>
  <c r="N79" i="3"/>
  <c r="F79" i="5" s="1"/>
  <c r="L79" i="3"/>
  <c r="E79" i="5" s="1"/>
  <c r="D79" i="3"/>
  <c r="C79" i="3"/>
  <c r="C79" i="5" s="1"/>
  <c r="B79" i="3"/>
  <c r="N78" i="3"/>
  <c r="F78" i="5" s="1"/>
  <c r="M78" i="3"/>
  <c r="D78" i="5" s="1"/>
  <c r="L78" i="3"/>
  <c r="E78" i="5" s="1"/>
  <c r="D78" i="3"/>
  <c r="C78" i="3"/>
  <c r="C78" i="5" s="1"/>
  <c r="B78" i="3"/>
  <c r="L77" i="3"/>
  <c r="M77" i="3" s="1"/>
  <c r="D77" i="3"/>
  <c r="C77" i="3"/>
  <c r="C77" i="5" s="1"/>
  <c r="B77" i="3"/>
  <c r="N76" i="3"/>
  <c r="F76" i="5" s="1"/>
  <c r="M76" i="3"/>
  <c r="D76" i="5" s="1"/>
  <c r="L76" i="3"/>
  <c r="E76" i="5" s="1"/>
  <c r="D76" i="3"/>
  <c r="C76" i="3"/>
  <c r="C76" i="5" s="1"/>
  <c r="B76" i="3"/>
  <c r="N75" i="3"/>
  <c r="F75" i="5" s="1"/>
  <c r="L75" i="3"/>
  <c r="E75" i="5" s="1"/>
  <c r="D75" i="3"/>
  <c r="C75" i="3"/>
  <c r="C75" i="5" s="1"/>
  <c r="B75" i="3"/>
  <c r="N74" i="3"/>
  <c r="F74" i="5" s="1"/>
  <c r="L74" i="3"/>
  <c r="E74" i="5" s="1"/>
  <c r="D74" i="3"/>
  <c r="C74" i="3"/>
  <c r="C74" i="5" s="1"/>
  <c r="B74" i="3"/>
  <c r="L73" i="3"/>
  <c r="E73" i="5" s="1"/>
  <c r="D73" i="3"/>
  <c r="C73" i="3"/>
  <c r="C73" i="5" s="1"/>
  <c r="B73" i="3"/>
  <c r="L72" i="3"/>
  <c r="E72" i="5" s="1"/>
  <c r="D72" i="3"/>
  <c r="C72" i="3"/>
  <c r="C72" i="5" s="1"/>
  <c r="B72" i="3"/>
  <c r="N71" i="3"/>
  <c r="F71" i="5" s="1"/>
  <c r="M71" i="3"/>
  <c r="D71" i="5" s="1"/>
  <c r="L71" i="3"/>
  <c r="E71" i="5" s="1"/>
  <c r="D71" i="3"/>
  <c r="C71" i="3"/>
  <c r="C71" i="5" s="1"/>
  <c r="B71" i="3"/>
  <c r="L70" i="3"/>
  <c r="E70" i="5" s="1"/>
  <c r="D70" i="3"/>
  <c r="C70" i="3"/>
  <c r="C70" i="5" s="1"/>
  <c r="B70" i="3"/>
  <c r="L69" i="3"/>
  <c r="D69" i="3"/>
  <c r="C69" i="3"/>
  <c r="C69" i="5" s="1"/>
  <c r="B69" i="3"/>
  <c r="L68" i="3"/>
  <c r="E68" i="5" s="1"/>
  <c r="D68" i="3"/>
  <c r="C68" i="3"/>
  <c r="C68" i="5" s="1"/>
  <c r="B68" i="3"/>
  <c r="L67" i="3"/>
  <c r="E67" i="5" s="1"/>
  <c r="D67" i="3"/>
  <c r="C67" i="3"/>
  <c r="C67" i="5" s="1"/>
  <c r="B67" i="3"/>
  <c r="N66" i="3"/>
  <c r="F66" i="5" s="1"/>
  <c r="M66" i="3"/>
  <c r="L66" i="3"/>
  <c r="E66" i="5" s="1"/>
  <c r="D66" i="3"/>
  <c r="C66" i="3"/>
  <c r="C66" i="5" s="1"/>
  <c r="B66" i="3"/>
  <c r="L65" i="3"/>
  <c r="E65" i="5" s="1"/>
  <c r="D65" i="3"/>
  <c r="C65" i="3"/>
  <c r="C65" i="5" s="1"/>
  <c r="B65" i="3"/>
  <c r="L64" i="3"/>
  <c r="E64" i="5" s="1"/>
  <c r="D64" i="3"/>
  <c r="C64" i="3"/>
  <c r="C64" i="5" s="1"/>
  <c r="B64" i="3"/>
  <c r="A64" i="5" s="1"/>
  <c r="N63" i="3"/>
  <c r="F63" i="5" s="1"/>
  <c r="L63" i="3"/>
  <c r="E63" i="5" s="1"/>
  <c r="D63" i="3"/>
  <c r="C63" i="3"/>
  <c r="C63" i="5" s="1"/>
  <c r="B63" i="3"/>
  <c r="N62" i="3"/>
  <c r="F62" i="5" s="1"/>
  <c r="M62" i="3"/>
  <c r="D62" i="5" s="1"/>
  <c r="L62" i="3"/>
  <c r="E62" i="5" s="1"/>
  <c r="D62" i="3"/>
  <c r="C62" i="3"/>
  <c r="C62" i="5" s="1"/>
  <c r="B62" i="3"/>
  <c r="L61" i="3"/>
  <c r="E61" i="5" s="1"/>
  <c r="D61" i="3"/>
  <c r="C61" i="3"/>
  <c r="C61" i="5" s="1"/>
  <c r="B61" i="3"/>
  <c r="L60" i="3"/>
  <c r="D60" i="3"/>
  <c r="C60" i="3"/>
  <c r="C60" i="5" s="1"/>
  <c r="B60" i="3"/>
  <c r="M59" i="3"/>
  <c r="D59" i="5" s="1"/>
  <c r="L59" i="3"/>
  <c r="E59" i="5" s="1"/>
  <c r="D59" i="3"/>
  <c r="C59" i="3"/>
  <c r="C59" i="5" s="1"/>
  <c r="B59" i="3"/>
  <c r="N58" i="3"/>
  <c r="F58" i="5" s="1"/>
  <c r="M58" i="3"/>
  <c r="D58" i="5" s="1"/>
  <c r="L58" i="3"/>
  <c r="E58" i="5" s="1"/>
  <c r="D58" i="3"/>
  <c r="C58" i="3"/>
  <c r="C58" i="5" s="1"/>
  <c r="B58" i="3"/>
  <c r="L57" i="3"/>
  <c r="M57" i="3" s="1"/>
  <c r="D57" i="3"/>
  <c r="C57" i="3"/>
  <c r="C57" i="5" s="1"/>
  <c r="B57" i="3"/>
  <c r="L56" i="3"/>
  <c r="E56" i="5" s="1"/>
  <c r="D56" i="3"/>
  <c r="C56" i="3"/>
  <c r="C56" i="5" s="1"/>
  <c r="B56" i="3"/>
  <c r="N55" i="3"/>
  <c r="F55" i="5" s="1"/>
  <c r="L55" i="3"/>
  <c r="E55" i="5" s="1"/>
  <c r="D55" i="3"/>
  <c r="C55" i="3"/>
  <c r="C55" i="5" s="1"/>
  <c r="B55" i="3"/>
  <c r="L54" i="3"/>
  <c r="E54" i="5" s="1"/>
  <c r="D54" i="3"/>
  <c r="C54" i="3"/>
  <c r="C54" i="5" s="1"/>
  <c r="B54" i="3"/>
  <c r="N53" i="3"/>
  <c r="F53" i="5" s="1"/>
  <c r="L53" i="3"/>
  <c r="E53" i="5" s="1"/>
  <c r="D53" i="3"/>
  <c r="C53" i="3"/>
  <c r="C53" i="5" s="1"/>
  <c r="B53" i="3"/>
  <c r="L52" i="3"/>
  <c r="E52" i="5" s="1"/>
  <c r="D52" i="3"/>
  <c r="C52" i="3"/>
  <c r="C52" i="5" s="1"/>
  <c r="B52" i="3"/>
  <c r="L51" i="3"/>
  <c r="E51" i="5" s="1"/>
  <c r="D51" i="3"/>
  <c r="C51" i="3"/>
  <c r="C51" i="5" s="1"/>
  <c r="B51" i="3"/>
  <c r="N50" i="3"/>
  <c r="F50" i="5" s="1"/>
  <c r="M50" i="3"/>
  <c r="D50" i="5" s="1"/>
  <c r="L50" i="3"/>
  <c r="E50" i="5" s="1"/>
  <c r="D50" i="3"/>
  <c r="C50" i="3"/>
  <c r="C50" i="5" s="1"/>
  <c r="B50" i="3"/>
  <c r="L49" i="3"/>
  <c r="D49" i="3"/>
  <c r="C49" i="3"/>
  <c r="C49" i="5" s="1"/>
  <c r="B49" i="3"/>
  <c r="L48" i="3"/>
  <c r="E48" i="5" s="1"/>
  <c r="D48" i="3"/>
  <c r="C48" i="3"/>
  <c r="C48" i="5" s="1"/>
  <c r="B48" i="3"/>
  <c r="L47" i="3"/>
  <c r="E47" i="5" s="1"/>
  <c r="D47" i="3"/>
  <c r="C47" i="3"/>
  <c r="C47" i="5" s="1"/>
  <c r="B47" i="3"/>
  <c r="N46" i="3"/>
  <c r="F46" i="5" s="1"/>
  <c r="M46" i="3"/>
  <c r="L46" i="3"/>
  <c r="E46" i="5" s="1"/>
  <c r="D46" i="3"/>
  <c r="C46" i="3"/>
  <c r="C46" i="5" s="1"/>
  <c r="B46" i="3"/>
  <c r="L45" i="3"/>
  <c r="E45" i="5" s="1"/>
  <c r="D45" i="3"/>
  <c r="C45" i="3"/>
  <c r="C45" i="5" s="1"/>
  <c r="B45" i="3"/>
  <c r="L44" i="3"/>
  <c r="E44" i="5" s="1"/>
  <c r="D44" i="3"/>
  <c r="C44" i="3"/>
  <c r="C44" i="5" s="1"/>
  <c r="B44" i="3"/>
  <c r="N43" i="3"/>
  <c r="F43" i="5" s="1"/>
  <c r="L43" i="3"/>
  <c r="E43" i="5" s="1"/>
  <c r="D43" i="3"/>
  <c r="C43" i="3"/>
  <c r="C43" i="5" s="1"/>
  <c r="B43" i="3"/>
  <c r="L42" i="3"/>
  <c r="E42" i="5" s="1"/>
  <c r="D42" i="3"/>
  <c r="C42" i="3"/>
  <c r="C42" i="5" s="1"/>
  <c r="B42" i="3"/>
  <c r="L41" i="3"/>
  <c r="E41" i="5" s="1"/>
  <c r="D41" i="3"/>
  <c r="C41" i="3"/>
  <c r="C41" i="5" s="1"/>
  <c r="B41" i="3"/>
  <c r="L40" i="3"/>
  <c r="D40" i="3"/>
  <c r="C40" i="3"/>
  <c r="C40" i="5" s="1"/>
  <c r="B40" i="3"/>
  <c r="L39" i="3"/>
  <c r="E39" i="5" s="1"/>
  <c r="D39" i="3"/>
  <c r="C39" i="3"/>
  <c r="C39" i="5" s="1"/>
  <c r="B39" i="3"/>
  <c r="N38" i="3"/>
  <c r="F38" i="5" s="1"/>
  <c r="M38" i="3"/>
  <c r="D38" i="5" s="1"/>
  <c r="L38" i="3"/>
  <c r="E38" i="5" s="1"/>
  <c r="D38" i="3"/>
  <c r="C38" i="3"/>
  <c r="C38" i="5" s="1"/>
  <c r="B38" i="3"/>
  <c r="L37" i="3"/>
  <c r="D37" i="3"/>
  <c r="C37" i="3"/>
  <c r="C37" i="5" s="1"/>
  <c r="B37" i="3"/>
  <c r="L36" i="3"/>
  <c r="E36" i="5" s="1"/>
  <c r="D36" i="3"/>
  <c r="C36" i="3"/>
  <c r="C36" i="5" s="1"/>
  <c r="B36" i="3"/>
  <c r="N35" i="3"/>
  <c r="F35" i="5" s="1"/>
  <c r="L35" i="3"/>
  <c r="E35" i="5" s="1"/>
  <c r="D35" i="3"/>
  <c r="C35" i="3"/>
  <c r="C35" i="5" s="1"/>
  <c r="B35" i="3"/>
  <c r="N34" i="3"/>
  <c r="F34" i="5" s="1"/>
  <c r="L34" i="3"/>
  <c r="E34" i="5" s="1"/>
  <c r="D34" i="3"/>
  <c r="C34" i="3"/>
  <c r="C34" i="5" s="1"/>
  <c r="B34" i="3"/>
  <c r="N33" i="3"/>
  <c r="F33" i="5" s="1"/>
  <c r="L33" i="3"/>
  <c r="E33" i="5" s="1"/>
  <c r="D33" i="3"/>
  <c r="C33" i="3"/>
  <c r="C33" i="5" s="1"/>
  <c r="B33" i="3"/>
  <c r="L32" i="3"/>
  <c r="D32" i="3"/>
  <c r="C32" i="3"/>
  <c r="C32" i="5" s="1"/>
  <c r="B32" i="3"/>
  <c r="N31" i="3"/>
  <c r="F31" i="5" s="1"/>
  <c r="M31" i="3"/>
  <c r="D31" i="5" s="1"/>
  <c r="L31" i="3"/>
  <c r="D31" i="3"/>
  <c r="C31" i="3"/>
  <c r="C31" i="5" s="1"/>
  <c r="B31" i="3"/>
  <c r="N30" i="3"/>
  <c r="F30" i="5" s="1"/>
  <c r="M30" i="3"/>
  <c r="D30" i="5" s="1"/>
  <c r="L30" i="3"/>
  <c r="E30" i="5" s="1"/>
  <c r="D30" i="3"/>
  <c r="C30" i="3"/>
  <c r="C30" i="5" s="1"/>
  <c r="B30" i="3"/>
  <c r="L29" i="3"/>
  <c r="M29" i="3" s="1"/>
  <c r="D29" i="3"/>
  <c r="C29" i="3"/>
  <c r="C29" i="5" s="1"/>
  <c r="B29" i="3"/>
  <c r="A29" i="5" s="1"/>
  <c r="L28" i="3"/>
  <c r="E28" i="5" s="1"/>
  <c r="D28" i="3"/>
  <c r="C28" i="3"/>
  <c r="C28" i="5" s="1"/>
  <c r="B28" i="3"/>
  <c r="L27" i="3"/>
  <c r="E27" i="5" s="1"/>
  <c r="D27" i="3"/>
  <c r="C27" i="3"/>
  <c r="C27" i="5" s="1"/>
  <c r="B27" i="3"/>
  <c r="N26" i="3"/>
  <c r="F26" i="5" s="1"/>
  <c r="M26" i="3"/>
  <c r="L26" i="3"/>
  <c r="E26" i="5" s="1"/>
  <c r="D26" i="3"/>
  <c r="C26" i="3"/>
  <c r="C26" i="5" s="1"/>
  <c r="B26" i="3"/>
  <c r="L25" i="3"/>
  <c r="E25" i="5" s="1"/>
  <c r="D25" i="3"/>
  <c r="C25" i="3"/>
  <c r="C25" i="5" s="1"/>
  <c r="B25" i="3"/>
  <c r="L24" i="3"/>
  <c r="E24" i="5" s="1"/>
  <c r="D24" i="3"/>
  <c r="C24" i="3"/>
  <c r="C24" i="5" s="1"/>
  <c r="B24" i="3"/>
  <c r="N23" i="3"/>
  <c r="F23" i="5" s="1"/>
  <c r="L23" i="3"/>
  <c r="E23" i="5" s="1"/>
  <c r="D23" i="3"/>
  <c r="C23" i="3"/>
  <c r="C23" i="5" s="1"/>
  <c r="B23" i="3"/>
  <c r="L22" i="3"/>
  <c r="E22" i="5" s="1"/>
  <c r="D22" i="3"/>
  <c r="C22" i="3"/>
  <c r="C22" i="5" s="1"/>
  <c r="B22" i="3"/>
  <c r="L21" i="3"/>
  <c r="E21" i="5" s="1"/>
  <c r="D21" i="3"/>
  <c r="C21" i="3"/>
  <c r="C21" i="5" s="1"/>
  <c r="B21" i="3"/>
  <c r="L20" i="3"/>
  <c r="D20" i="3"/>
  <c r="C20" i="3"/>
  <c r="C20" i="5" s="1"/>
  <c r="B20" i="3"/>
  <c r="L19" i="3"/>
  <c r="E19" i="5" s="1"/>
  <c r="D19" i="3"/>
  <c r="C19" i="3"/>
  <c r="C19" i="5" s="1"/>
  <c r="B19" i="3"/>
  <c r="N18" i="3"/>
  <c r="F18" i="5" s="1"/>
  <c r="M18" i="3"/>
  <c r="D18" i="5" s="1"/>
  <c r="L18" i="3"/>
  <c r="E18" i="5" s="1"/>
  <c r="D18" i="3"/>
  <c r="C18" i="3"/>
  <c r="C18" i="5" s="1"/>
  <c r="B18" i="3"/>
  <c r="L17" i="3"/>
  <c r="D17" i="3"/>
  <c r="C17" i="3"/>
  <c r="C17" i="5" s="1"/>
  <c r="B17" i="3"/>
  <c r="N16" i="3"/>
  <c r="F16" i="5" s="1"/>
  <c r="L16" i="3"/>
  <c r="M16" i="3" s="1"/>
  <c r="D16" i="3"/>
  <c r="C16" i="3"/>
  <c r="C16" i="5" s="1"/>
  <c r="B16" i="3"/>
  <c r="N15" i="3"/>
  <c r="F15" i="5" s="1"/>
  <c r="L15" i="3"/>
  <c r="E15" i="5" s="1"/>
  <c r="D15" i="3"/>
  <c r="C15" i="3"/>
  <c r="C15" i="5" s="1"/>
  <c r="B15" i="3"/>
  <c r="L14" i="3"/>
  <c r="E14" i="5" s="1"/>
  <c r="D14" i="3"/>
  <c r="C14" i="3"/>
  <c r="C14" i="5" s="1"/>
  <c r="B14" i="3"/>
  <c r="N13" i="3"/>
  <c r="F13" i="5" s="1"/>
  <c r="M13" i="3"/>
  <c r="D13" i="5" s="1"/>
  <c r="L13" i="3"/>
  <c r="E13" i="5" s="1"/>
  <c r="D13" i="3"/>
  <c r="C13" i="3"/>
  <c r="C13" i="5" s="1"/>
  <c r="B13" i="3"/>
  <c r="L12" i="3"/>
  <c r="D12" i="3"/>
  <c r="C12" i="3"/>
  <c r="C12" i="5" s="1"/>
  <c r="B12" i="3"/>
  <c r="N11" i="3"/>
  <c r="F11" i="5" s="1"/>
  <c r="L11" i="3"/>
  <c r="E11" i="5" s="1"/>
  <c r="D11" i="3"/>
  <c r="C11" i="3"/>
  <c r="C11" i="5" s="1"/>
  <c r="B11" i="3"/>
  <c r="L10" i="3"/>
  <c r="E10" i="5" s="1"/>
  <c r="D10" i="3"/>
  <c r="C10" i="3"/>
  <c r="C10" i="5" s="1"/>
  <c r="B10" i="3"/>
  <c r="M9" i="3"/>
  <c r="L9" i="3"/>
  <c r="D9" i="3"/>
  <c r="C9" i="3"/>
  <c r="C9" i="5" s="1"/>
  <c r="B9" i="3"/>
  <c r="N8" i="3"/>
  <c r="F8" i="5" s="1"/>
  <c r="M8" i="3"/>
  <c r="D8" i="5" s="1"/>
  <c r="L8" i="3"/>
  <c r="E8" i="5" s="1"/>
  <c r="D8" i="3"/>
  <c r="C8" i="3"/>
  <c r="C8" i="5" s="1"/>
  <c r="B8" i="3"/>
  <c r="L7" i="3"/>
  <c r="E7" i="5" s="1"/>
  <c r="D7" i="3"/>
  <c r="C7" i="3"/>
  <c r="C7" i="5" s="1"/>
  <c r="B7" i="3"/>
  <c r="N6" i="3"/>
  <c r="F6" i="5" s="1"/>
  <c r="M6" i="3"/>
  <c r="L6" i="3"/>
  <c r="E6" i="5" s="1"/>
  <c r="D6" i="3"/>
  <c r="C6" i="3"/>
  <c r="C6" i="5" s="1"/>
  <c r="B6" i="3"/>
  <c r="N5" i="3"/>
  <c r="F5" i="5" s="1"/>
  <c r="M5" i="3"/>
  <c r="D5" i="5" s="1"/>
  <c r="L5" i="3"/>
  <c r="E5" i="5" s="1"/>
  <c r="D5" i="3"/>
  <c r="C5" i="3"/>
  <c r="C5" i="5" s="1"/>
  <c r="B5" i="3"/>
  <c r="L4" i="3"/>
  <c r="E4" i="5" s="1"/>
  <c r="D4" i="3"/>
  <c r="C4" i="3"/>
  <c r="C4" i="5" s="1"/>
  <c r="B4" i="3"/>
  <c r="A4" i="5" s="1"/>
  <c r="J200" i="2"/>
  <c r="Q200" i="2" s="1"/>
  <c r="J199" i="2"/>
  <c r="Q199" i="2" s="1"/>
  <c r="J198" i="2"/>
  <c r="Q198" i="2" s="1"/>
  <c r="J197" i="2"/>
  <c r="Q197" i="2" s="1"/>
  <c r="J196" i="2"/>
  <c r="Q196" i="2" s="1"/>
  <c r="J195" i="2"/>
  <c r="Q195" i="2" s="1"/>
  <c r="J194" i="2"/>
  <c r="Q194" i="2" s="1"/>
  <c r="J193" i="2"/>
  <c r="Q193" i="2" s="1"/>
  <c r="J192" i="2"/>
  <c r="Q192" i="2" s="1"/>
  <c r="J191" i="2"/>
  <c r="Q191" i="2" s="1"/>
  <c r="J190" i="2"/>
  <c r="Q190" i="2" s="1"/>
  <c r="J189" i="2"/>
  <c r="Q189" i="2" s="1"/>
  <c r="J188" i="2"/>
  <c r="Q188" i="2" s="1"/>
  <c r="J187" i="2"/>
  <c r="Q187" i="2" s="1"/>
  <c r="J186" i="2"/>
  <c r="Q186" i="2" s="1"/>
  <c r="J185" i="2"/>
  <c r="Q185" i="2" s="1"/>
  <c r="J184" i="2"/>
  <c r="Q184" i="2" s="1"/>
  <c r="J183" i="2"/>
  <c r="Q183" i="2" s="1"/>
  <c r="J182" i="2"/>
  <c r="Q182" i="2" s="1"/>
  <c r="J181" i="2"/>
  <c r="Q181" i="2" s="1"/>
  <c r="J180" i="2"/>
  <c r="Q180" i="2" s="1"/>
  <c r="J179" i="2"/>
  <c r="Q179" i="2" s="1"/>
  <c r="J178" i="2"/>
  <c r="Q178" i="2" s="1"/>
  <c r="J177" i="2"/>
  <c r="Q177" i="2" s="1"/>
  <c r="J176" i="2"/>
  <c r="Q176" i="2" s="1"/>
  <c r="J175" i="2"/>
  <c r="Q175" i="2" s="1"/>
  <c r="J174" i="2"/>
  <c r="Q174" i="2" s="1"/>
  <c r="J173" i="2"/>
  <c r="Q173" i="2" s="1"/>
  <c r="J172" i="2"/>
  <c r="Q172" i="2" s="1"/>
  <c r="J171" i="2"/>
  <c r="Q171" i="2" s="1"/>
  <c r="J170" i="2"/>
  <c r="Q170" i="2" s="1"/>
  <c r="J169" i="2"/>
  <c r="Q169" i="2" s="1"/>
  <c r="J168" i="2"/>
  <c r="Q168" i="2" s="1"/>
  <c r="J167" i="2"/>
  <c r="Q167" i="2" s="1"/>
  <c r="Q166" i="2"/>
  <c r="J166" i="2"/>
  <c r="J165" i="2"/>
  <c r="Q165" i="2" s="1"/>
  <c r="Q164" i="2"/>
  <c r="J164" i="2"/>
  <c r="J163" i="2"/>
  <c r="Q163" i="2" s="1"/>
  <c r="J162" i="2"/>
  <c r="Q162" i="2" s="1"/>
  <c r="J161" i="2"/>
  <c r="Q161" i="2" s="1"/>
  <c r="J160" i="2"/>
  <c r="Q160" i="2" s="1"/>
  <c r="J159" i="2"/>
  <c r="Q159" i="2" s="1"/>
  <c r="J158" i="2"/>
  <c r="Q158" i="2" s="1"/>
  <c r="J157" i="2"/>
  <c r="Q157" i="2" s="1"/>
  <c r="J156" i="2"/>
  <c r="Q156" i="2" s="1"/>
  <c r="J155" i="2"/>
  <c r="Q155" i="2" s="1"/>
  <c r="J154" i="2"/>
  <c r="Q154" i="2" s="1"/>
  <c r="J153" i="2"/>
  <c r="Q153" i="2" s="1"/>
  <c r="J152" i="2"/>
  <c r="Q152" i="2" s="1"/>
  <c r="J151" i="2"/>
  <c r="Q151" i="2" s="1"/>
  <c r="J150" i="2"/>
  <c r="Q150" i="2" s="1"/>
  <c r="J149" i="2"/>
  <c r="Q149" i="2" s="1"/>
  <c r="J148" i="2"/>
  <c r="Q148" i="2" s="1"/>
  <c r="J147" i="2"/>
  <c r="Q147" i="2" s="1"/>
  <c r="Q146" i="2"/>
  <c r="J146" i="2"/>
  <c r="J145" i="2"/>
  <c r="Q145" i="2" s="1"/>
  <c r="J144" i="2"/>
  <c r="Q144" i="2" s="1"/>
  <c r="J143" i="2"/>
  <c r="Q143" i="2" s="1"/>
  <c r="J142" i="2"/>
  <c r="Q142" i="2" s="1"/>
  <c r="J141" i="2"/>
  <c r="Q141" i="2" s="1"/>
  <c r="J140" i="2"/>
  <c r="Q140" i="2" s="1"/>
  <c r="J139" i="2"/>
  <c r="Q139" i="2" s="1"/>
  <c r="J138" i="2"/>
  <c r="Q138" i="2" s="1"/>
  <c r="J137" i="2"/>
  <c r="Q137" i="2" s="1"/>
  <c r="J136" i="2"/>
  <c r="Q136" i="2" s="1"/>
  <c r="Q135" i="2"/>
  <c r="J135" i="2"/>
  <c r="J134" i="2"/>
  <c r="Q134" i="2" s="1"/>
  <c r="Q133" i="2"/>
  <c r="J133" i="2"/>
  <c r="J132" i="2"/>
  <c r="Q132" i="2" s="1"/>
  <c r="J131" i="2"/>
  <c r="Q131" i="2" s="1"/>
  <c r="J130" i="2"/>
  <c r="Q130" i="2" s="1"/>
  <c r="J129" i="2"/>
  <c r="Q129" i="2" s="1"/>
  <c r="J128" i="2"/>
  <c r="Q128" i="2" s="1"/>
  <c r="J127" i="2"/>
  <c r="Q127" i="2" s="1"/>
  <c r="J126" i="2"/>
  <c r="Q126" i="2" s="1"/>
  <c r="J125" i="2"/>
  <c r="Q125" i="2" s="1"/>
  <c r="J124" i="2"/>
  <c r="Q124" i="2" s="1"/>
  <c r="J123" i="2"/>
  <c r="Q123" i="2" s="1"/>
  <c r="J122" i="2"/>
  <c r="Q122" i="2" s="1"/>
  <c r="J121" i="2"/>
  <c r="Q121" i="2" s="1"/>
  <c r="J120" i="2"/>
  <c r="Q120" i="2" s="1"/>
  <c r="J119" i="2"/>
  <c r="Q119" i="2" s="1"/>
  <c r="J118" i="2"/>
  <c r="Q118" i="2" s="1"/>
  <c r="J117" i="2"/>
  <c r="Q117" i="2" s="1"/>
  <c r="J116" i="2"/>
  <c r="Q116" i="2" s="1"/>
  <c r="J115" i="2"/>
  <c r="Q115" i="2" s="1"/>
  <c r="J114" i="2"/>
  <c r="Q114" i="2" s="1"/>
  <c r="J113" i="2"/>
  <c r="Q113" i="2" s="1"/>
  <c r="J112" i="2"/>
  <c r="Q112" i="2" s="1"/>
  <c r="J111" i="2"/>
  <c r="Q111" i="2" s="1"/>
  <c r="J110" i="2"/>
  <c r="Q110" i="2" s="1"/>
  <c r="J109" i="2"/>
  <c r="Q109" i="2" s="1"/>
  <c r="J108" i="2"/>
  <c r="Q108" i="2" s="1"/>
  <c r="J107" i="2"/>
  <c r="Q107" i="2" s="1"/>
  <c r="J106" i="2"/>
  <c r="Q106" i="2" s="1"/>
  <c r="J105" i="2"/>
  <c r="Q105" i="2" s="1"/>
  <c r="J104" i="2"/>
  <c r="Q104" i="2" s="1"/>
  <c r="J103" i="2"/>
  <c r="Q103" i="2" s="1"/>
  <c r="J102" i="2"/>
  <c r="Q102" i="2" s="1"/>
  <c r="J101" i="2"/>
  <c r="Q101" i="2" s="1"/>
  <c r="J100" i="2"/>
  <c r="Q100" i="2" s="1"/>
  <c r="J99" i="2"/>
  <c r="Q99" i="2" s="1"/>
  <c r="J98" i="2"/>
  <c r="Q98" i="2" s="1"/>
  <c r="J97" i="2"/>
  <c r="Q97" i="2" s="1"/>
  <c r="J96" i="2"/>
  <c r="Q96" i="2" s="1"/>
  <c r="J95" i="2"/>
  <c r="Q95" i="2" s="1"/>
  <c r="J94" i="2"/>
  <c r="Q94" i="2" s="1"/>
  <c r="J93" i="2"/>
  <c r="Q93" i="2" s="1"/>
  <c r="J92" i="2"/>
  <c r="Q92" i="2" s="1"/>
  <c r="J91" i="2"/>
  <c r="Q91" i="2" s="1"/>
  <c r="J90" i="2"/>
  <c r="Q90" i="2" s="1"/>
  <c r="J89" i="2"/>
  <c r="Q89" i="2" s="1"/>
  <c r="J88" i="2"/>
  <c r="Q88" i="2" s="1"/>
  <c r="J87" i="2"/>
  <c r="Q87" i="2" s="1"/>
  <c r="Q86" i="2"/>
  <c r="J86" i="2"/>
  <c r="J85" i="2"/>
  <c r="Q85" i="2" s="1"/>
  <c r="J84" i="2"/>
  <c r="Q84" i="2" s="1"/>
  <c r="J83" i="2"/>
  <c r="Q83" i="2" s="1"/>
  <c r="J82" i="2"/>
  <c r="Q82" i="2" s="1"/>
  <c r="J81" i="2"/>
  <c r="Q81" i="2" s="1"/>
  <c r="J80" i="2"/>
  <c r="Q80" i="2" s="1"/>
  <c r="J79" i="2"/>
  <c r="Q79" i="2" s="1"/>
  <c r="J78" i="2"/>
  <c r="Q78" i="2" s="1"/>
  <c r="J77" i="2"/>
  <c r="Q77" i="2" s="1"/>
  <c r="J76" i="2"/>
  <c r="Q76" i="2" s="1"/>
  <c r="J75" i="2"/>
  <c r="Q75" i="2" s="1"/>
  <c r="J74" i="2"/>
  <c r="Q74" i="2" s="1"/>
  <c r="J73" i="2"/>
  <c r="Q73" i="2" s="1"/>
  <c r="J72" i="2"/>
  <c r="Q72" i="2" s="1"/>
  <c r="J71" i="2"/>
  <c r="Q71" i="2" s="1"/>
  <c r="J70" i="2"/>
  <c r="Q70" i="2" s="1"/>
  <c r="J69" i="2"/>
  <c r="Q69" i="2" s="1"/>
  <c r="J68" i="2"/>
  <c r="Q68" i="2" s="1"/>
  <c r="J67" i="2"/>
  <c r="Q67" i="2" s="1"/>
  <c r="Q66" i="2"/>
  <c r="J66" i="2"/>
  <c r="J65" i="2"/>
  <c r="Q65" i="2" s="1"/>
  <c r="J64" i="2"/>
  <c r="Q64" i="2" s="1"/>
  <c r="J63" i="2"/>
  <c r="Q63" i="2" s="1"/>
  <c r="J62" i="2"/>
  <c r="Q62" i="2" s="1"/>
  <c r="J61" i="2"/>
  <c r="Q61" i="2" s="1"/>
  <c r="J60" i="2"/>
  <c r="Q60" i="2" s="1"/>
  <c r="J59" i="2"/>
  <c r="Q59" i="2" s="1"/>
  <c r="J58" i="2"/>
  <c r="Q58" i="2" s="1"/>
  <c r="J57" i="2"/>
  <c r="Q57" i="2" s="1"/>
  <c r="J56" i="2"/>
  <c r="Q56" i="2" s="1"/>
  <c r="J55" i="2"/>
  <c r="Q55" i="2" s="1"/>
  <c r="J54" i="2"/>
  <c r="Q54" i="2" s="1"/>
  <c r="J53" i="2"/>
  <c r="Q53" i="2" s="1"/>
  <c r="J52" i="2"/>
  <c r="Q52" i="2" s="1"/>
  <c r="J51" i="2"/>
  <c r="Q51" i="2" s="1"/>
  <c r="J50" i="2"/>
  <c r="Q50" i="2" s="1"/>
  <c r="J49" i="2"/>
  <c r="Q49" i="2" s="1"/>
  <c r="J48" i="2"/>
  <c r="Q48" i="2" s="1"/>
  <c r="J47" i="2"/>
  <c r="Q47" i="2" s="1"/>
  <c r="J46" i="2"/>
  <c r="Q46" i="2" s="1"/>
  <c r="J45" i="2"/>
  <c r="Q45" i="2" s="1"/>
  <c r="Q44" i="2"/>
  <c r="J44" i="2"/>
  <c r="J43" i="2"/>
  <c r="Q43" i="2" s="1"/>
  <c r="J42" i="2"/>
  <c r="Q42" i="2" s="1"/>
  <c r="J41" i="2"/>
  <c r="Q41" i="2" s="1"/>
  <c r="J40" i="2"/>
  <c r="Q40" i="2" s="1"/>
  <c r="J39" i="2"/>
  <c r="Q39" i="2" s="1"/>
  <c r="J38" i="2"/>
  <c r="Q38" i="2" s="1"/>
  <c r="J37" i="2"/>
  <c r="Q37" i="2" s="1"/>
  <c r="J36" i="2"/>
  <c r="Q36" i="2" s="1"/>
  <c r="J35" i="2"/>
  <c r="Q35" i="2" s="1"/>
  <c r="J34" i="2"/>
  <c r="Q34" i="2" s="1"/>
  <c r="Q33" i="2"/>
  <c r="J33" i="2"/>
  <c r="J32" i="2"/>
  <c r="Q32" i="2" s="1"/>
  <c r="J31" i="2"/>
  <c r="Q31" i="2" s="1"/>
  <c r="J30" i="2"/>
  <c r="Q30" i="2" s="1"/>
  <c r="J29" i="2"/>
  <c r="Q29" i="2" s="1"/>
  <c r="J28" i="2"/>
  <c r="Q28" i="2" s="1"/>
  <c r="J27" i="2"/>
  <c r="Q27" i="2" s="1"/>
  <c r="J26" i="2"/>
  <c r="Q26" i="2" s="1"/>
  <c r="J25" i="2"/>
  <c r="Q25" i="2" s="1"/>
  <c r="J24" i="2"/>
  <c r="Q24" i="2" s="1"/>
  <c r="J23" i="2"/>
  <c r="J22" i="2"/>
  <c r="J21" i="2"/>
  <c r="Q21" i="2" s="1"/>
  <c r="J20" i="2"/>
  <c r="J19" i="2"/>
  <c r="J18" i="2"/>
  <c r="J17" i="2"/>
  <c r="Q17" i="2" s="1"/>
  <c r="J16" i="2"/>
  <c r="J15" i="2"/>
  <c r="J14" i="2"/>
  <c r="J13" i="2"/>
  <c r="J12" i="2"/>
  <c r="J11" i="2"/>
  <c r="J10" i="2"/>
  <c r="Q10" i="2" s="1"/>
  <c r="J9" i="2"/>
  <c r="Q9" i="2" s="1"/>
  <c r="J8" i="2"/>
  <c r="J7" i="2"/>
  <c r="J6" i="2"/>
  <c r="J5" i="2"/>
  <c r="J4" i="2"/>
  <c r="Q36" i="1"/>
  <c r="Q35" i="1"/>
  <c r="Q34" i="1"/>
  <c r="Q33" i="1"/>
  <c r="Q29" i="1"/>
  <c r="Q28" i="1"/>
  <c r="Q24" i="1"/>
  <c r="Q23" i="1"/>
  <c r="Q22" i="1"/>
  <c r="Q21" i="1"/>
  <c r="Q20" i="1"/>
  <c r="Q19" i="1"/>
  <c r="Q18" i="1"/>
  <c r="Q14" i="1"/>
  <c r="Q13" i="1"/>
  <c r="Q12" i="1"/>
  <c r="Q11" i="1"/>
  <c r="Q10" i="1"/>
  <c r="Q9" i="1"/>
  <c r="Q8" i="1"/>
  <c r="Q7" i="1"/>
  <c r="Q6" i="1"/>
  <c r="H6" i="1"/>
  <c r="G6" i="1"/>
  <c r="E6" i="1"/>
  <c r="D6" i="1"/>
  <c r="C6" i="1"/>
  <c r="B6" i="1"/>
  <c r="Q5" i="1"/>
  <c r="Q4" i="1"/>
  <c r="Q38" i="3" l="1"/>
  <c r="Q6" i="2"/>
  <c r="Q91" i="3"/>
  <c r="Q7" i="2"/>
  <c r="Q23" i="2"/>
  <c r="Q131" i="3"/>
  <c r="Q8" i="2"/>
  <c r="Q181" i="3"/>
  <c r="Q5" i="2"/>
  <c r="Q18" i="2"/>
  <c r="Q187" i="3"/>
  <c r="Q185" i="3"/>
  <c r="Q12" i="2"/>
  <c r="Q191" i="3"/>
  <c r="Q22" i="2"/>
  <c r="Q13" i="2"/>
  <c r="Q14" i="2"/>
  <c r="Q141" i="3"/>
  <c r="Q145" i="3"/>
  <c r="Q15" i="2"/>
  <c r="Q16" i="2"/>
  <c r="D147" i="5"/>
  <c r="Q147" i="3"/>
  <c r="D57" i="5"/>
  <c r="Q57" i="3"/>
  <c r="D167" i="5"/>
  <c r="Q167" i="3"/>
  <c r="D107" i="5"/>
  <c r="Q107" i="3"/>
  <c r="D117" i="5"/>
  <c r="Q117" i="3"/>
  <c r="D165" i="5"/>
  <c r="Q165" i="3"/>
  <c r="D16" i="5"/>
  <c r="D137" i="5"/>
  <c r="Q137" i="3"/>
  <c r="D77" i="5"/>
  <c r="Q77" i="3"/>
  <c r="D29" i="5"/>
  <c r="Q29" i="3"/>
  <c r="D125" i="5"/>
  <c r="Q125" i="3"/>
  <c r="D126" i="5"/>
  <c r="Q126" i="3"/>
  <c r="H20" i="5"/>
  <c r="B20" i="5"/>
  <c r="A20" i="5"/>
  <c r="H42" i="5"/>
  <c r="B42" i="5"/>
  <c r="A42" i="5"/>
  <c r="M73" i="3"/>
  <c r="E32" i="5"/>
  <c r="N32" i="3"/>
  <c r="F32" i="5" s="1"/>
  <c r="M32" i="3"/>
  <c r="M54" i="3"/>
  <c r="D106" i="5"/>
  <c r="Q106" i="3"/>
  <c r="E157" i="5"/>
  <c r="N157" i="3"/>
  <c r="F157" i="5" s="1"/>
  <c r="H131" i="5"/>
  <c r="B131" i="5"/>
  <c r="A131" i="5"/>
  <c r="N51" i="3"/>
  <c r="F51" i="5" s="1"/>
  <c r="M67" i="3"/>
  <c r="H97" i="5"/>
  <c r="B97" i="5"/>
  <c r="A97" i="5"/>
  <c r="E127" i="5"/>
  <c r="N127" i="3"/>
  <c r="F127" i="5" s="1"/>
  <c r="B193" i="5"/>
  <c r="A193" i="5"/>
  <c r="H193" i="5"/>
  <c r="M14" i="3"/>
  <c r="B18" i="5"/>
  <c r="A18" i="5"/>
  <c r="H18" i="5"/>
  <c r="M36" i="3"/>
  <c r="N39" i="3"/>
  <c r="F39" i="5" s="1"/>
  <c r="H65" i="5"/>
  <c r="B65" i="5"/>
  <c r="A65" i="5"/>
  <c r="B68" i="5"/>
  <c r="A68" i="5"/>
  <c r="H68" i="5"/>
  <c r="E97" i="5"/>
  <c r="N97" i="3"/>
  <c r="F97" i="5" s="1"/>
  <c r="B128" i="5"/>
  <c r="A128" i="5"/>
  <c r="H128" i="5"/>
  <c r="M134" i="3"/>
  <c r="N144" i="3"/>
  <c r="F144" i="5" s="1"/>
  <c r="Q151" i="3"/>
  <c r="M186" i="3"/>
  <c r="H190" i="5"/>
  <c r="B190" i="5"/>
  <c r="A190" i="5"/>
  <c r="M11" i="3"/>
  <c r="N14" i="3"/>
  <c r="F14" i="5" s="1"/>
  <c r="M33" i="3"/>
  <c r="N36" i="3"/>
  <c r="F36" i="5" s="1"/>
  <c r="B43" i="5"/>
  <c r="A43" i="5"/>
  <c r="H43" i="5"/>
  <c r="H46" i="5"/>
  <c r="B46" i="5"/>
  <c r="A46" i="5"/>
  <c r="H49" i="5"/>
  <c r="B49" i="5"/>
  <c r="A49" i="5"/>
  <c r="Q58" i="3"/>
  <c r="H62" i="5"/>
  <c r="B62" i="5"/>
  <c r="A62" i="5"/>
  <c r="M74" i="3"/>
  <c r="B78" i="5"/>
  <c r="A78" i="5"/>
  <c r="H78" i="5"/>
  <c r="B88" i="5"/>
  <c r="A88" i="5"/>
  <c r="H88" i="5"/>
  <c r="M97" i="3"/>
  <c r="B118" i="5"/>
  <c r="A118" i="5"/>
  <c r="H118" i="5"/>
  <c r="M124" i="3"/>
  <c r="N134" i="3"/>
  <c r="F134" i="5" s="1"/>
  <c r="H145" i="5"/>
  <c r="B145" i="5"/>
  <c r="A145" i="5"/>
  <c r="E148" i="5"/>
  <c r="M148" i="3"/>
  <c r="Q161" i="3"/>
  <c r="H180" i="5"/>
  <c r="B180" i="5"/>
  <c r="A180" i="5"/>
  <c r="H29" i="5"/>
  <c r="B29" i="5"/>
  <c r="B83" i="5"/>
  <c r="A83" i="5"/>
  <c r="H83" i="5"/>
  <c r="M10" i="3"/>
  <c r="B58" i="5"/>
  <c r="A58" i="5"/>
  <c r="H58" i="5"/>
  <c r="Q99" i="3"/>
  <c r="Q116" i="3"/>
  <c r="B14" i="5"/>
  <c r="A14" i="5"/>
  <c r="E20" i="5"/>
  <c r="N20" i="3"/>
  <c r="F20" i="5" s="1"/>
  <c r="M20" i="3"/>
  <c r="E120" i="5"/>
  <c r="N120" i="3"/>
  <c r="F120" i="5" s="1"/>
  <c r="M120" i="3"/>
  <c r="M45" i="3"/>
  <c r="M61" i="3"/>
  <c r="H114" i="5"/>
  <c r="B114" i="5"/>
  <c r="A114" i="5"/>
  <c r="M39" i="3"/>
  <c r="M144" i="3"/>
  <c r="N154" i="3"/>
  <c r="F154" i="5" s="1"/>
  <c r="H59" i="5"/>
  <c r="B59" i="5"/>
  <c r="M21" i="3"/>
  <c r="M24" i="3"/>
  <c r="M27" i="3"/>
  <c r="H37" i="5"/>
  <c r="B37" i="5"/>
  <c r="A37" i="5"/>
  <c r="H56" i="5"/>
  <c r="B56" i="5"/>
  <c r="A56" i="5"/>
  <c r="M104" i="3"/>
  <c r="H125" i="5"/>
  <c r="B125" i="5"/>
  <c r="A125" i="5"/>
  <c r="E128" i="5"/>
  <c r="M128" i="3"/>
  <c r="H159" i="5"/>
  <c r="B159" i="5"/>
  <c r="A159" i="5"/>
  <c r="D188" i="5"/>
  <c r="Q188" i="3"/>
  <c r="M96" i="3"/>
  <c r="N70" i="3"/>
  <c r="F70" i="5" s="1"/>
  <c r="M64" i="3"/>
  <c r="H91" i="5"/>
  <c r="B91" i="5"/>
  <c r="A91" i="5"/>
  <c r="M164" i="3"/>
  <c r="B8" i="5"/>
  <c r="A8" i="5"/>
  <c r="H8" i="5"/>
  <c r="M42" i="3"/>
  <c r="M127" i="3"/>
  <c r="N164" i="3"/>
  <c r="F164" i="5" s="1"/>
  <c r="H21" i="5"/>
  <c r="B21" i="5"/>
  <c r="A21" i="5"/>
  <c r="N48" i="3"/>
  <c r="F48" i="5" s="1"/>
  <c r="B98" i="5"/>
  <c r="A98" i="5"/>
  <c r="H98" i="5"/>
  <c r="Q19" i="2"/>
  <c r="Q8" i="3"/>
  <c r="N21" i="3"/>
  <c r="F21" i="5" s="1"/>
  <c r="N24" i="3"/>
  <c r="F24" i="5" s="1"/>
  <c r="N27" i="3"/>
  <c r="F27" i="5" s="1"/>
  <c r="Q30" i="3"/>
  <c r="H34" i="5"/>
  <c r="B34" i="5"/>
  <c r="A34" i="5"/>
  <c r="E49" i="5"/>
  <c r="N49" i="3"/>
  <c r="F49" i="5" s="1"/>
  <c r="M49" i="3"/>
  <c r="B53" i="5"/>
  <c r="A53" i="5"/>
  <c r="H53" i="5"/>
  <c r="M65" i="3"/>
  <c r="M68" i="3"/>
  <c r="Q71" i="3"/>
  <c r="M81" i="3"/>
  <c r="H85" i="5"/>
  <c r="B85" i="5"/>
  <c r="A85" i="5"/>
  <c r="E88" i="5"/>
  <c r="M88" i="3"/>
  <c r="N104" i="3"/>
  <c r="F104" i="5" s="1"/>
  <c r="Q111" i="3"/>
  <c r="N128" i="3"/>
  <c r="F128" i="5" s="1"/>
  <c r="E145" i="5"/>
  <c r="N145" i="3"/>
  <c r="F145" i="5" s="1"/>
  <c r="H149" i="5"/>
  <c r="B149" i="5"/>
  <c r="A149" i="5"/>
  <c r="E169" i="5"/>
  <c r="N169" i="3"/>
  <c r="F169" i="5" s="1"/>
  <c r="M169" i="3"/>
  <c r="Q176" i="3"/>
  <c r="Q183" i="3"/>
  <c r="E16" i="5"/>
  <c r="B23" i="5"/>
  <c r="A23" i="5"/>
  <c r="H137" i="5"/>
  <c r="B137" i="5"/>
  <c r="A137" i="5"/>
  <c r="D171" i="5"/>
  <c r="Q171" i="3"/>
  <c r="B17" i="5"/>
  <c r="A17" i="5"/>
  <c r="Q133" i="3"/>
  <c r="H189" i="5"/>
  <c r="B189" i="5"/>
  <c r="A189" i="5"/>
  <c r="B33" i="5"/>
  <c r="A33" i="5"/>
  <c r="H33" i="5"/>
  <c r="Q93" i="3"/>
  <c r="E137" i="5"/>
  <c r="N137" i="3"/>
  <c r="F137" i="5" s="1"/>
  <c r="E17" i="5"/>
  <c r="N17" i="3"/>
  <c r="F17" i="5" s="1"/>
  <c r="M48" i="3"/>
  <c r="E87" i="5"/>
  <c r="N87" i="3"/>
  <c r="F87" i="5" s="1"/>
  <c r="E100" i="5"/>
  <c r="N100" i="3"/>
  <c r="F100" i="5" s="1"/>
  <c r="M100" i="3"/>
  <c r="D94" i="5"/>
  <c r="Q94" i="3"/>
  <c r="H6" i="5"/>
  <c r="B6" i="5"/>
  <c r="A6" i="5"/>
  <c r="H9" i="5"/>
  <c r="B9" i="5"/>
  <c r="A9" i="5"/>
  <c r="H31" i="5"/>
  <c r="B31" i="5"/>
  <c r="A31" i="5"/>
  <c r="E40" i="5"/>
  <c r="N40" i="3"/>
  <c r="F40" i="5" s="1"/>
  <c r="M40" i="3"/>
  <c r="D46" i="5"/>
  <c r="Q46" i="3"/>
  <c r="H50" i="5"/>
  <c r="B50" i="5"/>
  <c r="A50" i="5"/>
  <c r="N65" i="3"/>
  <c r="F65" i="5" s="1"/>
  <c r="N68" i="3"/>
  <c r="F68" i="5" s="1"/>
  <c r="N81" i="3"/>
  <c r="F81" i="5" s="1"/>
  <c r="H105" i="5"/>
  <c r="B105" i="5"/>
  <c r="A105" i="5"/>
  <c r="E108" i="5"/>
  <c r="M108" i="3"/>
  <c r="Q121" i="3"/>
  <c r="H139" i="5"/>
  <c r="B139" i="5"/>
  <c r="A139" i="5"/>
  <c r="H156" i="5"/>
  <c r="B156" i="5"/>
  <c r="A156" i="5"/>
  <c r="H166" i="5"/>
  <c r="B166" i="5"/>
  <c r="A166" i="5"/>
  <c r="H177" i="5"/>
  <c r="B177" i="5"/>
  <c r="A177" i="5"/>
  <c r="H184" i="5"/>
  <c r="B184" i="5"/>
  <c r="A184" i="5"/>
  <c r="B48" i="5"/>
  <c r="A48" i="5"/>
  <c r="H48" i="5"/>
  <c r="Q13" i="3"/>
  <c r="N96" i="3"/>
  <c r="F96" i="5" s="1"/>
  <c r="M51" i="3"/>
  <c r="N54" i="3"/>
  <c r="F54" i="5" s="1"/>
  <c r="Q4" i="2"/>
  <c r="H111" i="5"/>
  <c r="B111" i="5"/>
  <c r="A111" i="5"/>
  <c r="E117" i="5"/>
  <c r="N117" i="3"/>
  <c r="F117" i="5" s="1"/>
  <c r="D84" i="5"/>
  <c r="Q84" i="3"/>
  <c r="H129" i="5"/>
  <c r="B129" i="5"/>
  <c r="D162" i="5"/>
  <c r="Q162" i="3"/>
  <c r="H26" i="5"/>
  <c r="B26" i="5"/>
  <c r="A26" i="5"/>
  <c r="M4" i="3"/>
  <c r="M70" i="3"/>
  <c r="B168" i="5"/>
  <c r="A168" i="5"/>
  <c r="H168" i="5"/>
  <c r="N7" i="3"/>
  <c r="F7" i="5" s="1"/>
  <c r="H117" i="5"/>
  <c r="B117" i="5"/>
  <c r="A117" i="5"/>
  <c r="B11" i="5"/>
  <c r="A11" i="5"/>
  <c r="H74" i="5"/>
  <c r="B74" i="5"/>
  <c r="N64" i="3"/>
  <c r="F64" i="5" s="1"/>
  <c r="B148" i="5"/>
  <c r="A148" i="5"/>
  <c r="H148" i="5"/>
  <c r="M189" i="3"/>
  <c r="E189" i="5"/>
  <c r="N189" i="3"/>
  <c r="F189" i="5" s="1"/>
  <c r="M87" i="3"/>
  <c r="E107" i="5"/>
  <c r="N107" i="3"/>
  <c r="F107" i="5" s="1"/>
  <c r="D114" i="5"/>
  <c r="Q114" i="3"/>
  <c r="H187" i="5"/>
  <c r="B187" i="5"/>
  <c r="A187" i="5"/>
  <c r="Q20" i="2"/>
  <c r="B22" i="5"/>
  <c r="A22" i="5"/>
  <c r="B28" i="5"/>
  <c r="A28" i="5"/>
  <c r="H28" i="5"/>
  <c r="E37" i="5"/>
  <c r="N37" i="3"/>
  <c r="F37" i="5" s="1"/>
  <c r="E12" i="5"/>
  <c r="N12" i="3"/>
  <c r="F12" i="5" s="1"/>
  <c r="M12" i="3"/>
  <c r="B19" i="5"/>
  <c r="M37" i="3"/>
  <c r="H41" i="5"/>
  <c r="B41" i="5"/>
  <c r="A41" i="5"/>
  <c r="M56" i="3"/>
  <c r="N59" i="3"/>
  <c r="F59" i="5" s="1"/>
  <c r="Q62" i="3"/>
  <c r="H66" i="5"/>
  <c r="B66" i="5"/>
  <c r="A66" i="5"/>
  <c r="H69" i="5"/>
  <c r="B69" i="5"/>
  <c r="A69" i="5"/>
  <c r="Q78" i="3"/>
  <c r="E85" i="5"/>
  <c r="N85" i="3"/>
  <c r="F85" i="5" s="1"/>
  <c r="H89" i="5"/>
  <c r="B89" i="5"/>
  <c r="A89" i="5"/>
  <c r="Q101" i="3"/>
  <c r="H119" i="5"/>
  <c r="B119" i="5"/>
  <c r="H136" i="5"/>
  <c r="B136" i="5"/>
  <c r="A136" i="5"/>
  <c r="H146" i="5"/>
  <c r="B146" i="5"/>
  <c r="A146" i="5"/>
  <c r="E149" i="5"/>
  <c r="N149" i="3"/>
  <c r="F149" i="5" s="1"/>
  <c r="M149" i="3"/>
  <c r="B153" i="5"/>
  <c r="A153" i="5"/>
  <c r="H153" i="5"/>
  <c r="M159" i="3"/>
  <c r="N162" i="3"/>
  <c r="F162" i="5" s="1"/>
  <c r="E167" i="5"/>
  <c r="N167" i="3"/>
  <c r="F167" i="5" s="1"/>
  <c r="H151" i="5"/>
  <c r="B151" i="5"/>
  <c r="A151" i="5"/>
  <c r="N10" i="3"/>
  <c r="F10" i="5" s="1"/>
  <c r="E140" i="5"/>
  <c r="N140" i="3"/>
  <c r="F140" i="5" s="1"/>
  <c r="M140" i="3"/>
  <c r="H71" i="5"/>
  <c r="B71" i="5"/>
  <c r="A71" i="5"/>
  <c r="H94" i="5"/>
  <c r="B94" i="5"/>
  <c r="A94" i="5"/>
  <c r="N61" i="3"/>
  <c r="F61" i="5" s="1"/>
  <c r="B138" i="5"/>
  <c r="A138" i="5"/>
  <c r="H138" i="5"/>
  <c r="H40" i="5"/>
  <c r="B40" i="5"/>
  <c r="A40" i="5"/>
  <c r="B108" i="5"/>
  <c r="A108" i="5"/>
  <c r="H108" i="5"/>
  <c r="E165" i="5"/>
  <c r="N165" i="3"/>
  <c r="F165" i="5" s="1"/>
  <c r="H25" i="5"/>
  <c r="B25" i="5"/>
  <c r="A25" i="5"/>
  <c r="E125" i="5"/>
  <c r="N125" i="3"/>
  <c r="F125" i="5" s="1"/>
  <c r="E9" i="5"/>
  <c r="N9" i="3"/>
  <c r="F9" i="5" s="1"/>
  <c r="H16" i="5"/>
  <c r="B16" i="5"/>
  <c r="A16" i="5"/>
  <c r="M34" i="3"/>
  <c r="B38" i="5"/>
  <c r="A38" i="5"/>
  <c r="H38" i="5"/>
  <c r="M53" i="3"/>
  <c r="N56" i="3"/>
  <c r="F56" i="5" s="1"/>
  <c r="Q59" i="3"/>
  <c r="B63" i="5"/>
  <c r="A63" i="5"/>
  <c r="H63" i="5"/>
  <c r="H79" i="5"/>
  <c r="B79" i="5"/>
  <c r="A79" i="5"/>
  <c r="M85" i="3"/>
  <c r="Q98" i="3"/>
  <c r="E105" i="5"/>
  <c r="N105" i="3"/>
  <c r="F105" i="5" s="1"/>
  <c r="H109" i="5"/>
  <c r="B109" i="5"/>
  <c r="A109" i="5"/>
  <c r="M142" i="3"/>
  <c r="N159" i="3"/>
  <c r="F159" i="5" s="1"/>
  <c r="B163" i="5"/>
  <c r="A163" i="5"/>
  <c r="H163" i="5"/>
  <c r="E170" i="5"/>
  <c r="N170" i="3"/>
  <c r="F170" i="5" s="1"/>
  <c r="M170" i="3"/>
  <c r="H174" i="5"/>
  <c r="B174" i="5"/>
  <c r="E177" i="5"/>
  <c r="N177" i="3"/>
  <c r="F177" i="5" s="1"/>
  <c r="A19" i="5"/>
  <c r="A74" i="5"/>
  <c r="E160" i="5"/>
  <c r="N160" i="3"/>
  <c r="F160" i="5" s="1"/>
  <c r="M160" i="3"/>
  <c r="B103" i="5"/>
  <c r="A103" i="5"/>
  <c r="H103" i="5"/>
  <c r="H39" i="5"/>
  <c r="B39" i="5"/>
  <c r="A39" i="5"/>
  <c r="Q76" i="3"/>
  <c r="D199" i="5"/>
  <c r="Q199" i="3"/>
  <c r="H36" i="5"/>
  <c r="B36" i="5"/>
  <c r="A36" i="5"/>
  <c r="H30" i="5"/>
  <c r="B30" i="5"/>
  <c r="A30" i="5"/>
  <c r="E80" i="5"/>
  <c r="N80" i="3"/>
  <c r="F80" i="5" s="1"/>
  <c r="M80" i="3"/>
  <c r="M154" i="3"/>
  <c r="N42" i="3"/>
  <c r="F42" i="5" s="1"/>
  <c r="Q11" i="2"/>
  <c r="H60" i="5"/>
  <c r="B60" i="5"/>
  <c r="A60" i="5"/>
  <c r="H76" i="5"/>
  <c r="B76" i="5"/>
  <c r="A76" i="5"/>
  <c r="H99" i="5"/>
  <c r="B99" i="5"/>
  <c r="A99" i="5"/>
  <c r="H116" i="5"/>
  <c r="B116" i="5"/>
  <c r="A116" i="5"/>
  <c r="H126" i="5"/>
  <c r="B126" i="5"/>
  <c r="A126" i="5"/>
  <c r="E129" i="5"/>
  <c r="N129" i="3"/>
  <c r="F129" i="5" s="1"/>
  <c r="M129" i="3"/>
  <c r="B133" i="5"/>
  <c r="A133" i="5"/>
  <c r="H133" i="5"/>
  <c r="D166" i="5"/>
  <c r="Q166" i="3"/>
  <c r="D177" i="5"/>
  <c r="Q177" i="3"/>
  <c r="D198" i="5"/>
  <c r="Q198" i="3"/>
  <c r="E130" i="5"/>
  <c r="M130" i="3"/>
  <c r="E90" i="5"/>
  <c r="M90" i="3"/>
  <c r="H154" i="5"/>
  <c r="B154" i="5"/>
  <c r="A154" i="5"/>
  <c r="E110" i="5"/>
  <c r="M110" i="3"/>
  <c r="E29" i="5"/>
  <c r="N29" i="3"/>
  <c r="F29" i="5" s="1"/>
  <c r="M157" i="3"/>
  <c r="Q113" i="3"/>
  <c r="B158" i="5"/>
  <c r="A158" i="5"/>
  <c r="H158" i="5"/>
  <c r="N67" i="3"/>
  <c r="F67" i="5" s="1"/>
  <c r="E168" i="5"/>
  <c r="M168" i="3"/>
  <c r="N45" i="3"/>
  <c r="F45" i="5" s="1"/>
  <c r="E77" i="5"/>
  <c r="N77" i="3"/>
  <c r="F77" i="5" s="1"/>
  <c r="D6" i="5"/>
  <c r="B13" i="5"/>
  <c r="A13" i="5"/>
  <c r="H13" i="5"/>
  <c r="M22" i="3"/>
  <c r="H22" i="5" s="1"/>
  <c r="M25" i="3"/>
  <c r="M28" i="3"/>
  <c r="H57" i="5"/>
  <c r="B57" i="5"/>
  <c r="A57" i="5"/>
  <c r="E69" i="5"/>
  <c r="N69" i="3"/>
  <c r="F69" i="5" s="1"/>
  <c r="M69" i="3"/>
  <c r="B73" i="5"/>
  <c r="A73" i="5"/>
  <c r="H73" i="5"/>
  <c r="H86" i="5"/>
  <c r="B86" i="5"/>
  <c r="A86" i="5"/>
  <c r="E89" i="5"/>
  <c r="N89" i="3"/>
  <c r="F89" i="5" s="1"/>
  <c r="M89" i="3"/>
  <c r="H96" i="5"/>
  <c r="B96" i="5"/>
  <c r="A96" i="5"/>
  <c r="Q105" i="3"/>
  <c r="M122" i="3"/>
  <c r="B143" i="5"/>
  <c r="A143" i="5"/>
  <c r="H143" i="5"/>
  <c r="H171" i="5"/>
  <c r="B171" i="5"/>
  <c r="A171" i="5"/>
  <c r="A129" i="5"/>
  <c r="E57" i="5"/>
  <c r="N57" i="3"/>
  <c r="F57" i="5" s="1"/>
  <c r="H45" i="5"/>
  <c r="B45" i="5"/>
  <c r="A45" i="5"/>
  <c r="D86" i="5"/>
  <c r="Q86" i="3"/>
  <c r="M7" i="3"/>
  <c r="H7" i="5" s="1"/>
  <c r="N73" i="3"/>
  <c r="F73" i="5" s="1"/>
  <c r="E147" i="5"/>
  <c r="N147" i="3"/>
  <c r="F147" i="5" s="1"/>
  <c r="N4" i="3"/>
  <c r="F4" i="5" s="1"/>
  <c r="H77" i="5"/>
  <c r="B77" i="5"/>
  <c r="A77" i="5"/>
  <c r="H134" i="5"/>
  <c r="B134" i="5"/>
  <c r="A134" i="5"/>
  <c r="D26" i="5"/>
  <c r="Q26" i="3"/>
  <c r="Q192" i="3"/>
  <c r="H5" i="5"/>
  <c r="B5" i="5"/>
  <c r="A5" i="5"/>
  <c r="M17" i="3"/>
  <c r="H17" i="5" s="1"/>
  <c r="D9" i="5"/>
  <c r="H10" i="5"/>
  <c r="B10" i="5"/>
  <c r="A10" i="5"/>
  <c r="M19" i="3"/>
  <c r="H19" i="5" s="1"/>
  <c r="N22" i="3"/>
  <c r="F22" i="5" s="1"/>
  <c r="N25" i="3"/>
  <c r="F25" i="5" s="1"/>
  <c r="N28" i="3"/>
  <c r="F28" i="5" s="1"/>
  <c r="Q31" i="3"/>
  <c r="M41" i="3"/>
  <c r="M44" i="3"/>
  <c r="M47" i="3"/>
  <c r="Q50" i="3"/>
  <c r="H54" i="5"/>
  <c r="B54" i="5"/>
  <c r="A54" i="5"/>
  <c r="D66" i="5"/>
  <c r="Q66" i="3"/>
  <c r="H70" i="5"/>
  <c r="B70" i="5"/>
  <c r="A70" i="5"/>
  <c r="M82" i="3"/>
  <c r="H90" i="5"/>
  <c r="B90" i="5"/>
  <c r="A90" i="5"/>
  <c r="B93" i="5"/>
  <c r="A93" i="5"/>
  <c r="H93" i="5"/>
  <c r="H106" i="5"/>
  <c r="B106" i="5"/>
  <c r="A106" i="5"/>
  <c r="E109" i="5"/>
  <c r="N109" i="3"/>
  <c r="F109" i="5" s="1"/>
  <c r="M109" i="3"/>
  <c r="B113" i="5"/>
  <c r="A113" i="5"/>
  <c r="H113" i="5"/>
  <c r="M119" i="3"/>
  <c r="N122" i="3"/>
  <c r="F122" i="5" s="1"/>
  <c r="M136" i="3"/>
  <c r="Q139" i="3"/>
  <c r="D146" i="5"/>
  <c r="Q146" i="3"/>
  <c r="E150" i="5"/>
  <c r="M150" i="3"/>
  <c r="Q156" i="3"/>
  <c r="E174" i="5"/>
  <c r="N174" i="3"/>
  <c r="F174" i="5" s="1"/>
  <c r="H199" i="5"/>
  <c r="B199" i="5"/>
  <c r="A199" i="5"/>
  <c r="N19" i="3"/>
  <c r="F19" i="5" s="1"/>
  <c r="N41" i="3"/>
  <c r="F41" i="5" s="1"/>
  <c r="N44" i="3"/>
  <c r="F44" i="5" s="1"/>
  <c r="N47" i="3"/>
  <c r="F47" i="5" s="1"/>
  <c r="H51" i="5"/>
  <c r="B51" i="5"/>
  <c r="A51" i="5"/>
  <c r="E60" i="5"/>
  <c r="N60" i="3"/>
  <c r="F60" i="5" s="1"/>
  <c r="M60" i="3"/>
  <c r="M79" i="3"/>
  <c r="N82" i="3"/>
  <c r="F82" i="5" s="1"/>
  <c r="M102" i="3"/>
  <c r="N119" i="3"/>
  <c r="F119" i="5" s="1"/>
  <c r="B123" i="5"/>
  <c r="A123" i="5"/>
  <c r="H123" i="5"/>
  <c r="N136" i="3"/>
  <c r="F136" i="5" s="1"/>
  <c r="N150" i="3"/>
  <c r="F150" i="5" s="1"/>
  <c r="H157" i="5"/>
  <c r="B157" i="5"/>
  <c r="A157" i="5"/>
  <c r="M174" i="3"/>
  <c r="D195" i="5"/>
  <c r="Q195" i="3"/>
  <c r="A59" i="5"/>
  <c r="H80" i="5"/>
  <c r="B80" i="5"/>
  <c r="A80" i="5"/>
  <c r="H100" i="5"/>
  <c r="B100" i="5"/>
  <c r="A100" i="5"/>
  <c r="H120" i="5"/>
  <c r="B120" i="5"/>
  <c r="A120" i="5"/>
  <c r="H140" i="5"/>
  <c r="B140" i="5"/>
  <c r="A140" i="5"/>
  <c r="H160" i="5"/>
  <c r="B160" i="5"/>
  <c r="A160" i="5"/>
  <c r="E180" i="5"/>
  <c r="M180" i="3"/>
  <c r="E146" i="5"/>
  <c r="B178" i="5"/>
  <c r="A178" i="5"/>
  <c r="H178" i="5"/>
  <c r="E106" i="5"/>
  <c r="H169" i="5"/>
  <c r="B169" i="5"/>
  <c r="H181" i="5"/>
  <c r="B181" i="5"/>
  <c r="A181" i="5"/>
  <c r="H12" i="5"/>
  <c r="B12" i="5"/>
  <c r="A12" i="5"/>
  <c r="H32" i="5"/>
  <c r="B32" i="5"/>
  <c r="A32" i="5"/>
  <c r="H52" i="5"/>
  <c r="B52" i="5"/>
  <c r="A52" i="5"/>
  <c r="H72" i="5"/>
  <c r="B72" i="5"/>
  <c r="A72" i="5"/>
  <c r="H92" i="5"/>
  <c r="B92" i="5"/>
  <c r="A92" i="5"/>
  <c r="H112" i="5"/>
  <c r="B112" i="5"/>
  <c r="A112" i="5"/>
  <c r="H132" i="5"/>
  <c r="B132" i="5"/>
  <c r="A132" i="5"/>
  <c r="H152" i="5"/>
  <c r="B152" i="5"/>
  <c r="A152" i="5"/>
  <c r="H172" i="5"/>
  <c r="B172" i="5"/>
  <c r="A172" i="5"/>
  <c r="H175" i="5"/>
  <c r="B175" i="5"/>
  <c r="A175" i="5"/>
  <c r="B15" i="5"/>
  <c r="A15" i="5"/>
  <c r="M23" i="3"/>
  <c r="H35" i="5"/>
  <c r="B35" i="5"/>
  <c r="A35" i="5"/>
  <c r="M43" i="3"/>
  <c r="H55" i="5"/>
  <c r="B55" i="5"/>
  <c r="A55" i="5"/>
  <c r="M63" i="3"/>
  <c r="H75" i="5"/>
  <c r="B75" i="5"/>
  <c r="A75" i="5"/>
  <c r="M83" i="3"/>
  <c r="H95" i="5"/>
  <c r="B95" i="5"/>
  <c r="A95" i="5"/>
  <c r="M103" i="3"/>
  <c r="H115" i="5"/>
  <c r="B115" i="5"/>
  <c r="A115" i="5"/>
  <c r="M123" i="3"/>
  <c r="H135" i="5"/>
  <c r="B135" i="5"/>
  <c r="A135" i="5"/>
  <c r="M143" i="3"/>
  <c r="H155" i="5"/>
  <c r="B155" i="5"/>
  <c r="A155" i="5"/>
  <c r="M163" i="3"/>
  <c r="M184" i="3"/>
  <c r="E184" i="5"/>
  <c r="E190" i="5"/>
  <c r="N190" i="3"/>
  <c r="F190" i="5" s="1"/>
  <c r="E193" i="5"/>
  <c r="M193" i="3"/>
  <c r="D196" i="5"/>
  <c r="Q196" i="3"/>
  <c r="N184" i="3"/>
  <c r="F184" i="5" s="1"/>
  <c r="M190" i="3"/>
  <c r="N193" i="3"/>
  <c r="F193" i="5" s="1"/>
  <c r="H81" i="5"/>
  <c r="B81" i="5"/>
  <c r="A81" i="5"/>
  <c r="H101" i="5"/>
  <c r="B101" i="5"/>
  <c r="A101" i="5"/>
  <c r="H121" i="5"/>
  <c r="B121" i="5"/>
  <c r="A121" i="5"/>
  <c r="N126" i="3"/>
  <c r="F126" i="5" s="1"/>
  <c r="H141" i="5"/>
  <c r="B141" i="5"/>
  <c r="A141" i="5"/>
  <c r="H161" i="5"/>
  <c r="B161" i="5"/>
  <c r="A161" i="5"/>
  <c r="N166" i="3"/>
  <c r="F166" i="5" s="1"/>
  <c r="H197" i="5"/>
  <c r="B197" i="5"/>
  <c r="A197" i="5"/>
  <c r="E200" i="5"/>
  <c r="N200" i="3"/>
  <c r="F200" i="5" s="1"/>
  <c r="M200" i="3"/>
  <c r="H61" i="5"/>
  <c r="B61" i="5"/>
  <c r="A61" i="5"/>
  <c r="H4" i="5"/>
  <c r="B4" i="5"/>
  <c r="H24" i="5"/>
  <c r="B24" i="5"/>
  <c r="H44" i="5"/>
  <c r="B44" i="5"/>
  <c r="M52" i="3"/>
  <c r="H64" i="5"/>
  <c r="B64" i="5"/>
  <c r="M72" i="3"/>
  <c r="H84" i="5"/>
  <c r="B84" i="5"/>
  <c r="H104" i="5"/>
  <c r="B104" i="5"/>
  <c r="H124" i="5"/>
  <c r="B124" i="5"/>
  <c r="H144" i="5"/>
  <c r="B144" i="5"/>
  <c r="H164" i="5"/>
  <c r="B164" i="5"/>
  <c r="H185" i="5"/>
  <c r="B185" i="5"/>
  <c r="A185" i="5"/>
  <c r="H191" i="5"/>
  <c r="B191" i="5"/>
  <c r="A191" i="5"/>
  <c r="B7" i="5"/>
  <c r="A7" i="5"/>
  <c r="M15" i="3"/>
  <c r="H15" i="5" s="1"/>
  <c r="H27" i="5"/>
  <c r="B27" i="5"/>
  <c r="A27" i="5"/>
  <c r="M35" i="3"/>
  <c r="H47" i="5"/>
  <c r="B47" i="5"/>
  <c r="A47" i="5"/>
  <c r="N52" i="3"/>
  <c r="F52" i="5" s="1"/>
  <c r="M55" i="3"/>
  <c r="H67" i="5"/>
  <c r="B67" i="5"/>
  <c r="A67" i="5"/>
  <c r="N72" i="3"/>
  <c r="F72" i="5" s="1"/>
  <c r="M75" i="3"/>
  <c r="H87" i="5"/>
  <c r="B87" i="5"/>
  <c r="A87" i="5"/>
  <c r="M95" i="3"/>
  <c r="H107" i="5"/>
  <c r="B107" i="5"/>
  <c r="A107" i="5"/>
  <c r="M115" i="3"/>
  <c r="H127" i="5"/>
  <c r="B127" i="5"/>
  <c r="A127" i="5"/>
  <c r="M135" i="3"/>
  <c r="H147" i="5"/>
  <c r="B147" i="5"/>
  <c r="A147" i="5"/>
  <c r="M155" i="3"/>
  <c r="H167" i="5"/>
  <c r="B167" i="5"/>
  <c r="A167" i="5"/>
  <c r="H182" i="5"/>
  <c r="B182" i="5"/>
  <c r="A182" i="5"/>
  <c r="B188" i="5"/>
  <c r="A188" i="5"/>
  <c r="H188" i="5"/>
  <c r="A24" i="5"/>
  <c r="A124" i="5"/>
  <c r="E181" i="5"/>
  <c r="H110" i="5"/>
  <c r="B110" i="5"/>
  <c r="A110" i="5"/>
  <c r="Q112" i="3"/>
  <c r="N115" i="3"/>
  <c r="F115" i="5" s="1"/>
  <c r="M118" i="3"/>
  <c r="H130" i="5"/>
  <c r="B130" i="5"/>
  <c r="A130" i="5"/>
  <c r="Q132" i="3"/>
  <c r="N135" i="3"/>
  <c r="F135" i="5" s="1"/>
  <c r="M138" i="3"/>
  <c r="H150" i="5"/>
  <c r="B150" i="5"/>
  <c r="A150" i="5"/>
  <c r="Q152" i="3"/>
  <c r="N155" i="3"/>
  <c r="F155" i="5" s="1"/>
  <c r="M158" i="3"/>
  <c r="H170" i="5"/>
  <c r="B170" i="5"/>
  <c r="A170" i="5"/>
  <c r="Q172" i="3"/>
  <c r="Q175" i="3"/>
  <c r="Q178" i="3"/>
  <c r="E197" i="5"/>
  <c r="N197" i="3"/>
  <c r="F197" i="5" s="1"/>
  <c r="B173" i="5"/>
  <c r="A173" i="5"/>
  <c r="H173" i="5"/>
  <c r="H176" i="5"/>
  <c r="B176" i="5"/>
  <c r="A176" i="5"/>
  <c r="H179" i="5"/>
  <c r="B179" i="5"/>
  <c r="D197" i="5"/>
  <c r="Q197" i="3"/>
  <c r="E182" i="5"/>
  <c r="M182" i="3"/>
  <c r="Q194" i="3"/>
  <c r="D194" i="5"/>
  <c r="B198" i="5"/>
  <c r="A198" i="5"/>
  <c r="H198" i="5"/>
  <c r="A169" i="5"/>
  <c r="A84" i="5"/>
  <c r="H82" i="5"/>
  <c r="B82" i="5"/>
  <c r="A82" i="5"/>
  <c r="H102" i="5"/>
  <c r="B102" i="5"/>
  <c r="A102" i="5"/>
  <c r="H122" i="5"/>
  <c r="B122" i="5"/>
  <c r="A122" i="5"/>
  <c r="H142" i="5"/>
  <c r="B142" i="5"/>
  <c r="A142" i="5"/>
  <c r="H162" i="5"/>
  <c r="B162" i="5"/>
  <c r="A162" i="5"/>
  <c r="E179" i="5"/>
  <c r="N179" i="3"/>
  <c r="F179" i="5" s="1"/>
  <c r="H165" i="5"/>
  <c r="B165" i="5"/>
  <c r="A165" i="5"/>
  <c r="M173" i="3"/>
  <c r="M179" i="3"/>
  <c r="B183" i="5"/>
  <c r="A183" i="5"/>
  <c r="H183" i="5"/>
  <c r="H186" i="5"/>
  <c r="B186" i="5"/>
  <c r="A186" i="5"/>
  <c r="A196" i="5"/>
  <c r="B196" i="5"/>
  <c r="N199" i="3"/>
  <c r="F199" i="5" s="1"/>
  <c r="B194" i="5"/>
  <c r="A192" i="5"/>
  <c r="B192" i="5"/>
  <c r="A195" i="5"/>
  <c r="A200" i="5"/>
  <c r="B195" i="5"/>
  <c r="B200" i="5"/>
  <c r="Q16" i="3" l="1"/>
  <c r="D104" i="5"/>
  <c r="Q104" i="3"/>
  <c r="D193" i="5"/>
  <c r="Q193" i="3"/>
  <c r="D32" i="5"/>
  <c r="Q32" i="3"/>
  <c r="D100" i="5"/>
  <c r="Q100" i="3"/>
  <c r="D149" i="5"/>
  <c r="Q149" i="3"/>
  <c r="D164" i="5"/>
  <c r="Q164" i="3"/>
  <c r="D20" i="5"/>
  <c r="Q20" i="3"/>
  <c r="D157" i="5"/>
  <c r="Q157" i="3"/>
  <c r="D160" i="5"/>
  <c r="Q160" i="3"/>
  <c r="D148" i="5"/>
  <c r="Q148" i="3"/>
  <c r="D73" i="5"/>
  <c r="Q73" i="3"/>
  <c r="D108" i="5"/>
  <c r="Q108" i="3"/>
  <c r="D72" i="5"/>
  <c r="Q72" i="3"/>
  <c r="D53" i="5"/>
  <c r="Q53" i="3"/>
  <c r="D115" i="5"/>
  <c r="Q115" i="3"/>
  <c r="D11" i="5"/>
  <c r="Q11" i="3"/>
  <c r="D154" i="5"/>
  <c r="Q154" i="3"/>
  <c r="D138" i="5"/>
  <c r="Q138" i="3"/>
  <c r="D75" i="5"/>
  <c r="Q75" i="3"/>
  <c r="D184" i="5"/>
  <c r="Q184" i="3"/>
  <c r="D122" i="5"/>
  <c r="Q122" i="3"/>
  <c r="D28" i="5"/>
  <c r="Q28" i="3"/>
  <c r="D80" i="5"/>
  <c r="Q80" i="3"/>
  <c r="D70" i="5"/>
  <c r="Q70" i="3"/>
  <c r="D14" i="5"/>
  <c r="Q14" i="3"/>
  <c r="D83" i="5"/>
  <c r="Q83" i="3"/>
  <c r="D41" i="5"/>
  <c r="Q41" i="3"/>
  <c r="D129" i="5"/>
  <c r="Q129" i="3"/>
  <c r="D163" i="5"/>
  <c r="Q163" i="3"/>
  <c r="D63" i="5"/>
  <c r="Q63" i="3"/>
  <c r="D25" i="5"/>
  <c r="Q25" i="3"/>
  <c r="D110" i="5"/>
  <c r="Q110" i="3"/>
  <c r="D85" i="5"/>
  <c r="Q85" i="3"/>
  <c r="H11" i="5"/>
  <c r="D48" i="5"/>
  <c r="Q48" i="3"/>
  <c r="D64" i="5"/>
  <c r="Q64" i="3"/>
  <c r="D27" i="5"/>
  <c r="Q27" i="3"/>
  <c r="D23" i="5"/>
  <c r="Q23" i="3"/>
  <c r="D61" i="5"/>
  <c r="Q61" i="3"/>
  <c r="D42" i="5"/>
  <c r="Q42" i="3"/>
  <c r="D34" i="5"/>
  <c r="Q34" i="3"/>
  <c r="D44" i="5"/>
  <c r="Q44" i="3"/>
  <c r="D186" i="5"/>
  <c r="Q186" i="3"/>
  <c r="D88" i="5"/>
  <c r="Q88" i="3"/>
  <c r="D134" i="5"/>
  <c r="Q134" i="3"/>
  <c r="D150" i="5"/>
  <c r="Q150" i="3"/>
  <c r="D19" i="5"/>
  <c r="Q19" i="3"/>
  <c r="D22" i="5"/>
  <c r="Q22" i="3"/>
  <c r="D40" i="5"/>
  <c r="Q40" i="3"/>
  <c r="H23" i="5"/>
  <c r="Q5" i="3"/>
  <c r="D24" i="5"/>
  <c r="Q24" i="3"/>
  <c r="H14" i="5"/>
  <c r="D168" i="5"/>
  <c r="Q168" i="3"/>
  <c r="D159" i="5"/>
  <c r="Q159" i="3"/>
  <c r="D15" i="5"/>
  <c r="Q15" i="3"/>
  <c r="D140" i="5"/>
  <c r="Q140" i="3"/>
  <c r="D56" i="5"/>
  <c r="Q56" i="3"/>
  <c r="D96" i="5"/>
  <c r="Q96" i="3"/>
  <c r="D21" i="5"/>
  <c r="Q21" i="3"/>
  <c r="D128" i="5"/>
  <c r="Q128" i="3"/>
  <c r="D127" i="5"/>
  <c r="Q127" i="3"/>
  <c r="D180" i="5"/>
  <c r="Q180" i="3"/>
  <c r="D102" i="5"/>
  <c r="Q102" i="3"/>
  <c r="D155" i="5"/>
  <c r="Q155" i="3"/>
  <c r="D81" i="5"/>
  <c r="Q81" i="3"/>
  <c r="D124" i="5"/>
  <c r="Q124" i="3"/>
  <c r="D4" i="5"/>
  <c r="F6" i="1"/>
  <c r="Q18" i="3"/>
  <c r="Q4" i="3"/>
  <c r="D190" i="5"/>
  <c r="Q190" i="3"/>
  <c r="D189" i="5"/>
  <c r="Q189" i="3"/>
  <c r="D45" i="5"/>
  <c r="Q45" i="3"/>
  <c r="D158" i="5"/>
  <c r="Q158" i="3"/>
  <c r="D7" i="5"/>
  <c r="Q7" i="3"/>
  <c r="D119" i="5"/>
  <c r="Q119" i="3"/>
  <c r="D87" i="5"/>
  <c r="Q87" i="3"/>
  <c r="D33" i="5"/>
  <c r="Q33" i="3"/>
  <c r="D36" i="5"/>
  <c r="Q36" i="3"/>
  <c r="D109" i="5"/>
  <c r="Q109" i="3"/>
  <c r="D69" i="5"/>
  <c r="Q69" i="3"/>
  <c r="D120" i="5"/>
  <c r="Q120" i="3"/>
  <c r="D95" i="5"/>
  <c r="Q95" i="3"/>
  <c r="D43" i="5"/>
  <c r="Q43" i="3"/>
  <c r="J20" i="1"/>
  <c r="K18" i="1"/>
  <c r="J15" i="1"/>
  <c r="J17" i="1"/>
  <c r="J16" i="1"/>
  <c r="K15" i="1"/>
  <c r="K22" i="1"/>
  <c r="K16" i="1"/>
  <c r="J22" i="1"/>
  <c r="J19" i="1"/>
  <c r="J18" i="1"/>
  <c r="K21" i="1"/>
  <c r="J21" i="1"/>
  <c r="K20" i="1"/>
  <c r="K17" i="1"/>
  <c r="K19" i="1"/>
  <c r="D60" i="5"/>
  <c r="Q60" i="3"/>
  <c r="Q9" i="3"/>
  <c r="Q6" i="3"/>
  <c r="D90" i="5"/>
  <c r="Q90" i="3"/>
  <c r="D68" i="5"/>
  <c r="Q68" i="3"/>
  <c r="D49" i="5"/>
  <c r="Q49" i="3"/>
  <c r="Q174" i="3"/>
  <c r="D174" i="5"/>
  <c r="D142" i="5"/>
  <c r="Q142" i="3"/>
  <c r="D54" i="5"/>
  <c r="Q54" i="3"/>
  <c r="D47" i="5"/>
  <c r="Q47" i="3"/>
  <c r="D179" i="5"/>
  <c r="Q179" i="3"/>
  <c r="D143" i="5"/>
  <c r="Q143" i="3"/>
  <c r="D79" i="5"/>
  <c r="Q79" i="3"/>
  <c r="D82" i="5"/>
  <c r="Q82" i="3"/>
  <c r="D67" i="5"/>
  <c r="Q67" i="3"/>
  <c r="D118" i="5"/>
  <c r="Q118" i="3"/>
  <c r="D200" i="5"/>
  <c r="Q200" i="3"/>
  <c r="D136" i="5"/>
  <c r="Q136" i="3"/>
  <c r="D170" i="5"/>
  <c r="Q170" i="3"/>
  <c r="D37" i="5"/>
  <c r="Q37" i="3"/>
  <c r="D51" i="5"/>
  <c r="Q51" i="3"/>
  <c r="D65" i="5"/>
  <c r="Q65" i="3"/>
  <c r="D144" i="5"/>
  <c r="Q144" i="3"/>
  <c r="D123" i="5"/>
  <c r="Q123" i="3"/>
  <c r="D35" i="5"/>
  <c r="Q35" i="3"/>
  <c r="D12" i="5"/>
  <c r="Q12" i="3"/>
  <c r="D103" i="5"/>
  <c r="Q103" i="3"/>
  <c r="D182" i="5"/>
  <c r="Q182" i="3"/>
  <c r="D74" i="5"/>
  <c r="Q74" i="3"/>
  <c r="D52" i="5"/>
  <c r="Q52" i="3"/>
  <c r="D55" i="5"/>
  <c r="Q55" i="3"/>
  <c r="D89" i="5"/>
  <c r="Q89" i="3"/>
  <c r="D173" i="5"/>
  <c r="Q173" i="3"/>
  <c r="D135" i="5"/>
  <c r="Q135" i="3"/>
  <c r="D17" i="5"/>
  <c r="Q17" i="3"/>
  <c r="D130" i="5"/>
  <c r="Q130" i="3"/>
  <c r="D169" i="5"/>
  <c r="Q169" i="3"/>
  <c r="D39" i="5"/>
  <c r="Q39" i="3"/>
  <c r="D10" i="5"/>
  <c r="Q10" i="3"/>
  <c r="D97" i="5"/>
  <c r="Q97" i="3"/>
  <c r="C55" i="1" l="1"/>
  <c r="G51" i="1"/>
  <c r="E48" i="1"/>
  <c r="B55" i="1"/>
  <c r="F51" i="1"/>
  <c r="D48" i="1"/>
  <c r="E54" i="1"/>
  <c r="C51" i="1"/>
  <c r="D54" i="1"/>
  <c r="B51" i="1"/>
  <c r="G54" i="1"/>
  <c r="E50" i="1"/>
  <c r="F54" i="1"/>
  <c r="D52" i="1"/>
  <c r="G50" i="1"/>
  <c r="F50" i="1"/>
  <c r="D50" i="1"/>
  <c r="C54" i="1"/>
  <c r="C50" i="1"/>
  <c r="D51" i="1"/>
  <c r="C48" i="1"/>
  <c r="B52" i="1"/>
  <c r="B54" i="1"/>
  <c r="B50" i="1"/>
  <c r="F53" i="1"/>
  <c r="D49" i="1"/>
  <c r="B49" i="1"/>
  <c r="B48" i="1"/>
  <c r="E55" i="1"/>
  <c r="G53" i="1"/>
  <c r="G49" i="1"/>
  <c r="D55" i="1"/>
  <c r="F49" i="1"/>
  <c r="G55" i="1"/>
  <c r="E53" i="1"/>
  <c r="E49" i="1"/>
  <c r="D53" i="1"/>
  <c r="C53" i="1"/>
  <c r="C49" i="1"/>
  <c r="B53" i="1"/>
  <c r="C52" i="1"/>
  <c r="E51" i="1"/>
  <c r="F55" i="1"/>
  <c r="G52" i="1"/>
  <c r="G48" i="1"/>
  <c r="F52" i="1"/>
  <c r="F48" i="1"/>
  <c r="E52" i="1"/>
</calcChain>
</file>

<file path=xl/sharedStrings.xml><?xml version="1.0" encoding="utf-8"?>
<sst xmlns="http://schemas.openxmlformats.org/spreadsheetml/2006/main" count="479" uniqueCount="281">
  <si>
    <t>ApplyAbroadLab.com  |  PhD &amp; Postdoc Application Tracker</t>
  </si>
  <si>
    <t>Chart data (auto)</t>
  </si>
  <si>
    <t>Command center for a graduate application campaign  |  Every card, chart and list below recalculates automatically  |  Click any card or row to jump to its source</t>
  </si>
  <si>
    <t>Country</t>
  </si>
  <si>
    <t>Count</t>
  </si>
  <si>
    <t>KEY METRICS</t>
  </si>
  <si>
    <t>QUICK NAVIGATION</t>
  </si>
  <si>
    <t>Netherlands</t>
  </si>
  <si>
    <t>Target
Positions</t>
  </si>
  <si>
    <t>Emails
Sent</t>
  </si>
  <si>
    <t>Replies
Received</t>
  </si>
  <si>
    <t>Response
Rate</t>
  </si>
  <si>
    <t>Overdue
Follow-ups</t>
  </si>
  <si>
    <t>Upcoming
Interviews</t>
  </si>
  <si>
    <t>Final
Acceptances</t>
  </si>
  <si>
    <t>▶  Position Database</t>
  </si>
  <si>
    <t>Sweden</t>
  </si>
  <si>
    <t>▶  Communication Tracker</t>
  </si>
  <si>
    <t>Denmark</t>
  </si>
  <si>
    <t>▶  Response Management</t>
  </si>
  <si>
    <t>Luxembourg</t>
  </si>
  <si>
    <t>POSITIONS BY COUNTRY  →  Position Database</t>
  </si>
  <si>
    <t>OUTREACH STATUS  →  Communication Tracker</t>
  </si>
  <si>
    <t>▶  Follow-up Alerts</t>
  </si>
  <si>
    <t>Switzerland</t>
  </si>
  <si>
    <t>▶  Email Templates</t>
  </si>
  <si>
    <t>Germany</t>
  </si>
  <si>
    <t>▶  How It Works</t>
  </si>
  <si>
    <t>Belgium</t>
  </si>
  <si>
    <t>Finland</t>
  </si>
  <si>
    <t>Norway</t>
  </si>
  <si>
    <t>UPCOMING DEADLINES</t>
  </si>
  <si>
    <t>France</t>
  </si>
  <si>
    <t>University  |  Position</t>
  </si>
  <si>
    <t>Days</t>
  </si>
  <si>
    <t>United Kingdom</t>
  </si>
  <si>
    <t>Status</t>
  </si>
  <si>
    <t>Sent</t>
  </si>
  <si>
    <t>No Reply</t>
  </si>
  <si>
    <t>Positive Reply</t>
  </si>
  <si>
    <t>Neutral Reply</t>
  </si>
  <si>
    <t>Rejected</t>
  </si>
  <si>
    <t>Interview Invitation</t>
  </si>
  <si>
    <t>Accepted</t>
  </si>
  <si>
    <t>APPLICATION FUNNEL  →  Response Management</t>
  </si>
  <si>
    <t>PHD VS POSTDOC  →  Position Database</t>
  </si>
  <si>
    <t>Level</t>
  </si>
  <si>
    <t>PhD</t>
  </si>
  <si>
    <t>Postdoc</t>
  </si>
  <si>
    <t>Stage</t>
  </si>
  <si>
    <t>1. Emails sent</t>
  </si>
  <si>
    <t>2. Replies received</t>
  </si>
  <si>
    <t>3. Interview invitations</t>
  </si>
  <si>
    <t>4. Final acceptances</t>
  </si>
  <si>
    <t>NEEDS FOLLOW-UP NOW  —  top 8 most overdue, pulled live from the Communication Tracker</t>
  </si>
  <si>
    <t>#</t>
  </si>
  <si>
    <t>Position Title</t>
  </si>
  <si>
    <t>University</t>
  </si>
  <si>
    <t>Days Since</t>
  </si>
  <si>
    <t>Next Follow-up</t>
  </si>
  <si>
    <t>Tip: update Status and dates in the Communication Tracker and deadlines in the Position Database - every card, chart and list on this page recalculates automatically. The full alert list is in Follow-up Alerts.</t>
  </si>
  <si>
    <t>Position Database</t>
  </si>
  <si>
    <t>One row per target position. Fill in the white cells; grey cells are calculated automatically.</t>
  </si>
  <si>
    <t>◀ Back to Dashboard</t>
  </si>
  <si>
    <t>ID</t>
  </si>
  <si>
    <t>City</t>
  </si>
  <si>
    <t>Research Area</t>
  </si>
  <si>
    <t>Funding</t>
  </si>
  <si>
    <t>Deadline</t>
  </si>
  <si>
    <t>Days to Deadline</t>
  </si>
  <si>
    <t>Priority</t>
  </si>
  <si>
    <t>Supervisor</t>
  </si>
  <si>
    <t>Supervisor Email</t>
  </si>
  <si>
    <t>Posting Link</t>
  </si>
  <si>
    <t>Notes</t>
  </si>
  <si>
    <t>deadline rank</t>
  </si>
  <si>
    <t>Post Doc: Learning Interactions in Collective Cell Migration</t>
  </si>
  <si>
    <t>Vrije Universiteit Amsterdam</t>
  </si>
  <si>
    <t>Amsterdam</t>
  </si>
  <si>
    <t>Physics</t>
  </si>
  <si>
    <t>Fully Funded</t>
  </si>
  <si>
    <t>High</t>
  </si>
  <si>
    <t>https://www.academictransfer.com/en/jobs/362788/post-doc-learning-interactions-in-collective-cell-migration/</t>
  </si>
  <si>
    <t>MSCA-DN PhD in Pharmacological Therapy for Leukodystrophies</t>
  </si>
  <si>
    <t>Amsterdam UMC</t>
  </si>
  <si>
    <t>Medical Sciences; Neurosciences</t>
  </si>
  <si>
    <t>Medium</t>
  </si>
  <si>
    <t>https://www.academictransfer.com/en/jobs/363691/msca-dn-phd-in-pharmacological-therapy-for-leukodystrophies-rome-it/</t>
  </si>
  <si>
    <t>PhD Positions in Human-Centred Artificial Intelligence</t>
  </si>
  <si>
    <t>Aalborg University</t>
  </si>
  <si>
    <t>Aalborg</t>
  </si>
  <si>
    <t>Human-Centred AI</t>
  </si>
  <si>
    <t>Low</t>
  </si>
  <si>
    <t>https://aau.varbi.com/en/what:job/jobID:972965/</t>
  </si>
  <si>
    <t>PhD Candidate: Multi-Methods Project on Negation Across Languages</t>
  </si>
  <si>
    <t>University of Amsterdam</t>
  </si>
  <si>
    <t>Language Sciences; Psychology</t>
  </si>
  <si>
    <t>https://www.academictransfer.com/en/jobs/363542/phd-candidate-within-a-multi-methods-project-on-negation-across-languages/</t>
  </si>
  <si>
    <t>PhD Position: Beyond the Odds - Pathways to Gambling-Related Harm</t>
  </si>
  <si>
    <t>Radboud University</t>
  </si>
  <si>
    <t>Nijmegen</t>
  </si>
  <si>
    <t>Economics; Psychology</t>
  </si>
  <si>
    <t>https://www.academictransfer.com/en/jobs/363826/phd-position-beyond-the-odds-unravelling-pathways-to-gambling-related-harm/</t>
  </si>
  <si>
    <t>PhD Position in Time-Reflection of Subwavelength THz Waves</t>
  </si>
  <si>
    <t>ETH Zurich</t>
  </si>
  <si>
    <t>Zurich</t>
  </si>
  <si>
    <t>Physics - Applied Physics</t>
  </si>
  <si>
    <t>Not Stated</t>
  </si>
  <si>
    <t>https://www.jobs.ethz.ch/job/en/JOPG_ethz_VLtNEC6HFLUrmk6007?mw_source=academicpositions</t>
  </si>
  <si>
    <t>Postdoc in Machine Learning and Surrogate Modelling</t>
  </si>
  <si>
    <t>University of Luxembourg</t>
  </si>
  <si>
    <t>Esch-sur-Alzette</t>
  </si>
  <si>
    <t>Computer Science - AI</t>
  </si>
  <si>
    <t>https://www.uni.lu/en/jobs/postdoc-in-machine-learning-and-surrogate-modelling/</t>
  </si>
  <si>
    <t>PhD: Microfluidics to Observe and Manipulate Coacervate Droplets</t>
  </si>
  <si>
    <t>University of Groningen</t>
  </si>
  <si>
    <t>Groningen</t>
  </si>
  <si>
    <t>Engineering; Biological Sciences</t>
  </si>
  <si>
    <t>https://www.academictransfer.com/en/jobs/363590/phd-position-using-microfluidics-to-observe-and-manipulate-coacervate-droplets/</t>
  </si>
  <si>
    <t>Two Postdoctoral Positions in Mitochondrial Cell Biology</t>
  </si>
  <si>
    <t>Institut Imagine</t>
  </si>
  <si>
    <t>Paris</t>
  </si>
  <si>
    <t>Biology</t>
  </si>
  <si>
    <t>https://www.welcometothejungle.com/fr/companies/institut-imagine/jobs/two-2-postdoctoral-positions-in-mitochondrial-cell-biology_paris</t>
  </si>
  <si>
    <t>Doctoral Student in Environmental Law Specialising in Nuclear Power</t>
  </si>
  <si>
    <t>Uppsala University</t>
  </si>
  <si>
    <t>Uppsala</t>
  </si>
  <si>
    <t>Environmental Law</t>
  </si>
  <si>
    <t>https://uu.varbi.com/en/what:job/jobID:953285/</t>
  </si>
  <si>
    <t>PhD in Integrated Circuit Group on Transceivers for Optical Communications</t>
  </si>
  <si>
    <t>Eindhoven University of Technology</t>
  </si>
  <si>
    <t>Eindhoven</t>
  </si>
  <si>
    <t>Engineering</t>
  </si>
  <si>
    <t>https://www.academictransfer.com/en/jobs/364085/phd-in-the-integrated-circuit-group-on-transceivers-for-optical-communications/</t>
  </si>
  <si>
    <t>Postdoc in Structural Analysis of Carbon Materials for Energy Storage</t>
  </si>
  <si>
    <t>Carbon Materials; Electrochemistry</t>
  </si>
  <si>
    <t>https://uu.varbi.com/en/what:job/jobID:972884/</t>
  </si>
  <si>
    <t>Postdoc: Multiphysics Modelling of Laser-Regolith Interaction (Moon)</t>
  </si>
  <si>
    <t>Technical University of Denmark</t>
  </si>
  <si>
    <t>Kongens Lyngby</t>
  </si>
  <si>
    <t>Mechanical Engineering; Space</t>
  </si>
  <si>
    <t>https://efzu.fa.em2.oraclecloud.com/hcmUI/CandidateExperience/en/sites/CX_2001/job/8059/</t>
  </si>
  <si>
    <t>Postdoctoral Researcher in Quantum Communications</t>
  </si>
  <si>
    <t>Physics - Quantum Optics</t>
  </si>
  <si>
    <t>https://www.uni.lu/en/jobs/postdoctoral-researcher-in-quantum-communications/</t>
  </si>
  <si>
    <t>Research Associate in Steel Structures and Sustainable Design</t>
  </si>
  <si>
    <t>University of Sheffield</t>
  </si>
  <si>
    <t>Sheffield</t>
  </si>
  <si>
    <t>Civil Engineering</t>
  </si>
  <si>
    <t>https://university-of-sheffield.contactrh.com/jobs/11046/44464617</t>
  </si>
  <si>
    <t>Postdoc in Synthesis and Crystal Growth of Molecular Conductors</t>
  </si>
  <si>
    <t>Chalmers University of Technology</t>
  </si>
  <si>
    <t>Gothenburg</t>
  </si>
  <si>
    <t>Chemistry; Materials Chemistry</t>
  </si>
  <si>
    <t>Daniel Weber</t>
  </si>
  <si>
    <t>daniel.weber@chalmers.se</t>
  </si>
  <si>
    <t>https://www.chalmers.se/en/about-chalmers/work-with-us/vacancies/?rmpage=job&amp;rmjob=15046&amp;rmlang=UK</t>
  </si>
  <si>
    <t>PhD Candidate in Children's Media in English (CLEAR Group)</t>
  </si>
  <si>
    <t>NTNU</t>
  </si>
  <si>
    <t>Trondheim</t>
  </si>
  <si>
    <t>Children's Media Studies</t>
  </si>
  <si>
    <t>https://www.jobbnorge.no/en/available-jobs/job/306713/phd-candidate-in-childrens-media-in-english</t>
  </si>
  <si>
    <t>PhD: Chemical Activity of Air Pollutants via Laser Spectroscopy</t>
  </si>
  <si>
    <t>Forschungszentrum Jülich</t>
  </si>
  <si>
    <t>Jülich</t>
  </si>
  <si>
    <t>Environmental Chemistry</t>
  </si>
  <si>
    <t>https://recruiting.fz-juelich.de/jobposting/feb0efc501ddc3d5ab9b2c01d600e59045c7cff90</t>
  </si>
  <si>
    <t>Doctoral Fellow: Lunar Resource Production (LuMoCX / ERC)</t>
  </si>
  <si>
    <t>Ghent University</t>
  </si>
  <si>
    <t>Ghent</t>
  </si>
  <si>
    <t>Space Resources</t>
  </si>
  <si>
    <t>https://www.ugent.be/en/work/scientific/doctoral-fellow-137</t>
  </si>
  <si>
    <t>Postdoctoral Fellows in Proteomics: Neurodevelopment and Cancer</t>
  </si>
  <si>
    <t>University of Helsinki</t>
  </si>
  <si>
    <t>Helsinki</t>
  </si>
  <si>
    <t>Proteomics; Biomedical Science</t>
  </si>
  <si>
    <t>https://jobs.helsinki.fi/job/Helsinki-Postdoctoral-Research-Fellows-in-Proteomics/1370111857/</t>
  </si>
  <si>
    <t>Communication Tracker</t>
  </si>
  <si>
    <t>Pick the position ID from the drop-down; title, university and country fill in automatically. Dates as yyyy-mm-dd. The follow-up clock stops when a case is closed.</t>
  </si>
  <si>
    <t>First Email</t>
  </si>
  <si>
    <t>Template</t>
  </si>
  <si>
    <t>CV Version</t>
  </si>
  <si>
    <t>Proposal Version</t>
  </si>
  <si>
    <t>Follow-up 1</t>
  </si>
  <si>
    <t>Follow-up 2</t>
  </si>
  <si>
    <t>Follow-up 3</t>
  </si>
  <si>
    <t>Last Contact</t>
  </si>
  <si>
    <t>urgency rank</t>
  </si>
  <si>
    <t>Template A</t>
  </si>
  <si>
    <t>CV_v4</t>
  </si>
  <si>
    <t>Prop_v2</t>
  </si>
  <si>
    <t>Template B</t>
  </si>
  <si>
    <t>CV_v5</t>
  </si>
  <si>
    <t>Prop_v3</t>
  </si>
  <si>
    <t>CV_v3</t>
  </si>
  <si>
    <t>Prop_v1</t>
  </si>
  <si>
    <t>Custom</t>
  </si>
  <si>
    <t>Template C</t>
  </si>
  <si>
    <t>Response Management</t>
  </si>
  <si>
    <t>Log every reply you receive. Pick the position ID from the drop-down. Update the Status in the Communication Tracker as well so the follow-up clock stops.</t>
  </si>
  <si>
    <t>Reply Date</t>
  </si>
  <si>
    <t>Reply Status</t>
  </si>
  <si>
    <t>Reply Summary</t>
  </si>
  <si>
    <t>Meeting Date</t>
  </si>
  <si>
    <t>Outcome</t>
  </si>
  <si>
    <t>Next Action</t>
  </si>
  <si>
    <t>Expressed interest; asked for the full proposal and a funding plan</t>
  </si>
  <si>
    <t>Proposal Requested</t>
  </si>
  <si>
    <t>Send the two-page research proposal</t>
  </si>
  <si>
    <t>No budget at the moment but open to a conversation</t>
  </si>
  <si>
    <t>Info Received</t>
  </si>
  <si>
    <t>Check NWO grant options</t>
  </si>
  <si>
    <t>Position has been filled</t>
  </si>
  <si>
    <t>Closed</t>
  </si>
  <si>
    <t>Remove from follow-up list</t>
  </si>
  <si>
    <t>Invited to a 30-minute online interview with the group leader</t>
  </si>
  <si>
    <t>Interview Scheduled</t>
  </si>
  <si>
    <t>Prepare a 5-minute research pitch</t>
  </si>
  <si>
    <t>Asked for a writing sample and two referees</t>
  </si>
  <si>
    <t>Send writing sample and referee list</t>
  </si>
  <si>
    <t>Formal acceptance; start date January 2027</t>
  </si>
  <si>
    <t>Start the residence-permit process</t>
  </si>
  <si>
    <t>Position still open but priority is given to internal candidates</t>
  </si>
  <si>
    <t>Follow up again in November</t>
  </si>
  <si>
    <t>Invited to an introductory meeting with the research team</t>
  </si>
  <si>
    <t>Review the group's recent papers</t>
  </si>
  <si>
    <t>Research area does not match</t>
  </si>
  <si>
    <t>Referred to another colleague in the same faculty</t>
  </si>
  <si>
    <t>Contact the referred professor</t>
  </si>
  <si>
    <t>Follow-up Alerts</t>
  </si>
  <si>
    <t>Red = more than 14 days, send a follow-up today   |   Amber = 7 to 14 days, prepare it   |   Green = under 7 days, keep watching</t>
  </si>
  <si>
    <t>Recommended Action</t>
  </si>
  <si>
    <t>Email Templates</t>
  </si>
  <si>
    <t>Replace every [bracketed value] with your own details before sending. Keep the first email under 200 words.</t>
  </si>
  <si>
    <t>Code</t>
  </si>
  <si>
    <t>When to Use</t>
  </si>
  <si>
    <t>Subject Line</t>
  </si>
  <si>
    <t>Email Body</t>
  </si>
  <si>
    <t>Cold Email - First Contact</t>
  </si>
  <si>
    <t>First email to a new professor</t>
  </si>
  <si>
    <t>PhD/Postdoc Inquiry - [Research Area] - [Your Name]</t>
  </si>
  <si>
    <t>Dear Professor [Last Name],
My name is [Your Name]. I hold a [MSc/PhD] in [Field] from [Your University] and have been following your group's work on [specific topic] with great interest.
Your recent paper "[Paper Title]" ([Year]) caught my attention, particularly [one specific point from the paper]. It connects closely with my own experience in [your relevant experience].
If there is an opening for a [PhD/postdoc] position in your group, I would be glad to send my CV and a short research proposal for your consideration.
Kind regards,
[Full Name]
[Email] | [LinkedIn]</t>
  </si>
  <si>
    <t>First Follow-up</t>
  </si>
  <si>
    <t>14 days after the first email, no reply</t>
  </si>
  <si>
    <t>Following Up - PhD/Postdoc Inquiry - [Your Name]</t>
  </si>
  <si>
    <t>Dear Professor [Last Name],
I hope this message finds you well. I am following up on my email of [date of first email].
I understand your schedule is very full. I simply wanted to ask whether there might be any opportunity to join your group as a [PhD student/postdoc].
I would be happy to provide any further documents you may need.
Kind regards,
[Full Name]</t>
  </si>
  <si>
    <t>Second and Final Follow-up</t>
  </si>
  <si>
    <t>14 days after the first follow-up</t>
  </si>
  <si>
    <t>Final Follow-up - [Your Name] - [Research Area]</t>
  </si>
  <si>
    <t>Dear Professor [Last Name],
Apologies for writing once more; this will be my last follow-up.
If there are no openings in your group at the moment, I would be grateful if you could point me toward a colleague who may be recruiting in a related area.
Thank you for your time.
Kind regards,
[Full Name]</t>
  </si>
  <si>
    <t>Template D</t>
  </si>
  <si>
    <t>Reply to Expressed Interest</t>
  </si>
  <si>
    <t>The professor replied positively</t>
  </si>
  <si>
    <t>Re: [Original Subject] - Research Proposal &amp; Materials</t>
  </si>
  <si>
    <t>Dear Professor [Last Name],
Thank you very much for your kind reply. I am delighted that my research interests align with the goals of your group.
Please find attached:
- Full CV ([version])
- Two-page research proposal
- [Other document]
I would be glad to arrange an online conversation at any time that suits you.
Kind regards,
[Full Name]</t>
  </si>
  <si>
    <t>Template E</t>
  </si>
  <si>
    <t>Thank-you After Interview</t>
  </si>
  <si>
    <t>Within 24 hours of the meeting</t>
  </si>
  <si>
    <t>Thank You - Our Meeting on [Date] - [Your Name]</t>
  </si>
  <si>
    <t>Dear Professor [Last Name],
Thank you for taking the time to meet with me today. I found our discussion about [specific topic raised] very valuable.
After our meeting I thought further about [point raised] and [one short idea or answer].
I look forward to hearing from you.
Kind regards,
[Full Name]</t>
  </si>
  <si>
    <t>Personalize every email. Always cite one specific paper by the professor, and never send the same text to two people in the same group.</t>
  </si>
  <si>
    <t>How It Works</t>
  </si>
  <si>
    <t>Built by ApplyAbroadLab.com  |  Free to use and share with attribution</t>
  </si>
  <si>
    <t>Step</t>
  </si>
  <si>
    <t>What to do</t>
  </si>
  <si>
    <t>1. Add positions</t>
  </si>
  <si>
    <t>Open Position Database and add your target positions. Each ID must be unique; the same ID connects the position to the other sheets. Days to Deadline is calculated and colored automatically.</t>
  </si>
  <si>
    <t>2. Log each email</t>
  </si>
  <si>
    <t>In Communication Tracker, pick the position ID from the drop-down; title, university and country fill in by themselves. Enter the date of your first email and which template and CV version you used.</t>
  </si>
  <si>
    <t>3. Check alerts daily</t>
  </si>
  <si>
    <t>Open Follow-up Alerts every morning. A red row means send a follow-up today, amber means prepare one, green means wait.</t>
  </si>
  <si>
    <t>4. Record replies</t>
  </si>
  <si>
    <t>As soon as a reply arrives, log it in Response Management. Update the Status in Communication Tracker too so the day counter stops.</t>
  </si>
  <si>
    <t>5. Watch the dashboard</t>
  </si>
  <si>
    <t>Seven metrics, four charts, the deadline list and the follow-up list all update on their own. Every card and row is a link: click it to jump to the exact source cell, which is highlighted in a matching color.</t>
  </si>
  <si>
    <t>Color guide</t>
  </si>
  <si>
    <t>Red = urgent or rejected   |   Amber = warning   |   Green = on track   |   Grey cells = formulas, leave them alone   |   Colored column headers = dashboard link targets</t>
  </si>
  <si>
    <t>About the sample data</t>
  </si>
  <si>
    <t>The 20 positions are real, taken from the ApplyAbroadLab.com database on 27 September 2026. The email dates, statuses and replies are illustrative only so that the charts have something to show. Clear them before real use.</t>
  </si>
  <si>
    <t>Full position database</t>
  </si>
  <si>
    <t>Browse all current PhD and postdoc positions at applyabroadlab.com/position/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</si>
</sst>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34" x14ac:knownFonts="1">
    <font>
      <sz val="11"/>
      <color theme="1"/>
      <name val="Calibri"/>
      <family val="2"/>
      <scheme val="minor"/>
    </font>
    <font>
      <b/>
      <sz val="14"/>
      <color rgb="FFFFFFFF"/>
      <name val="Calibri"/>
    </font>
    <font>
      <i/>
      <sz val="9"/>
      <color rgb="FF5A6B87"/>
      <name val="Calibri"/>
    </font>
    <font>
      <b/>
      <u/>
      <sz val="9"/>
      <color rgb="FF0563C1"/>
      <name val="Calibri"/>
    </font>
    <font>
      <b/>
      <sz val="10"/>
      <color rgb="FFFFFFFF"/>
      <name val="Calibri"/>
    </font>
    <font>
      <sz val="10"/>
      <color rgb="FF1F2A44"/>
      <name val="Calibri"/>
    </font>
    <font>
      <sz val="10"/>
      <color rgb="FF5A6B87"/>
      <name val="Calibri"/>
    </font>
    <font>
      <u/>
      <sz val="8"/>
      <color rgb="FF0563C1"/>
      <name val="Calibri"/>
    </font>
    <font>
      <sz val="8"/>
      <color rgb="FF5A6B87"/>
      <name val="Calibri"/>
    </font>
    <font>
      <b/>
      <sz val="10"/>
      <color rgb="FF1F2A44"/>
      <name val="Calibri"/>
    </font>
    <font>
      <b/>
      <u/>
      <sz val="16"/>
      <color rgb="FFFFFFFF"/>
      <name val="Calibri"/>
    </font>
    <font>
      <b/>
      <sz val="11"/>
      <color rgb="FF16305C"/>
      <name val="Calibri"/>
    </font>
    <font>
      <b/>
      <u/>
      <sz val="9"/>
      <color rgb="FFFFFFFF"/>
      <name val="Calibri"/>
    </font>
    <font>
      <b/>
      <sz val="22"/>
      <color rgb="FF16305C"/>
      <name val="Calibri"/>
    </font>
    <font>
      <b/>
      <sz val="22"/>
      <color rgb="FF0E7C7B"/>
      <name val="Calibri"/>
    </font>
    <font>
      <b/>
      <sz val="22"/>
      <color rgb="FF5B3E90"/>
      <name val="Calibri"/>
    </font>
    <font>
      <b/>
      <sz val="22"/>
      <color rgb="FF2E86AB"/>
      <name val="Calibri"/>
    </font>
    <font>
      <b/>
      <sz val="22"/>
      <color rgb="FFB3261E"/>
      <name val="Calibri"/>
    </font>
    <font>
      <b/>
      <sz val="22"/>
      <color rgb="FFD98C00"/>
      <name val="Calibri"/>
    </font>
    <font>
      <b/>
      <sz val="22"/>
      <color rgb="FF1E7B34"/>
      <name val="Calibri"/>
    </font>
    <font>
      <b/>
      <u/>
      <sz val="10"/>
      <color rgb="FFFFFFFF"/>
      <name val="Calibri"/>
    </font>
    <font>
      <sz val="9"/>
      <color rgb="FF5A6B87"/>
      <name val="Calibri"/>
    </font>
    <font>
      <b/>
      <u/>
      <sz val="11"/>
      <color rgb="FF0563C1"/>
      <name val="Calibri"/>
    </font>
    <font>
      <b/>
      <sz val="11"/>
      <color rgb="FFD98C00"/>
      <name val="Calibri"/>
    </font>
    <font>
      <b/>
      <sz val="9"/>
      <color rgb="FFFFFFFF"/>
      <name val="Calibri"/>
    </font>
    <font>
      <b/>
      <sz val="10"/>
      <color rgb="FFB3261E"/>
      <name val="Calibri"/>
    </font>
    <font>
      <b/>
      <sz val="11"/>
      <color rgb="FFB3261E"/>
      <name val="Calibri"/>
    </font>
    <font>
      <u/>
      <sz val="9"/>
      <color rgb="FF0563C1"/>
      <name val="Calibri"/>
    </font>
    <font>
      <sz val="9"/>
      <color rgb="FF1F2A44"/>
      <name val="Calibri"/>
    </font>
    <font>
      <b/>
      <sz val="9"/>
      <color rgb="FF1F2A44"/>
      <name val="Calibri"/>
    </font>
    <font>
      <i/>
      <sz val="8"/>
      <color rgb="FF5A6B87"/>
      <name val="Calibri"/>
    </font>
    <font>
      <b/>
      <sz val="10"/>
      <color rgb="FF16305C"/>
      <name val="Calibri"/>
    </font>
    <font>
      <b/>
      <sz val="10"/>
      <color rgb="FFD98C00"/>
      <name val="Calibri"/>
    </font>
    <font>
      <u/>
      <sz val="10"/>
      <color rgb="FF0563C1"/>
      <name val="Calibri"/>
    </font>
  </fonts>
  <fills count="25">
    <fill>
      <patternFill patternType="none"/>
    </fill>
    <fill>
      <patternFill patternType="gray125"/>
    </fill>
    <fill>
      <gradientFill>
        <stop position="0">
          <color rgb="FF16305C"/>
        </stop>
        <stop position="1">
          <color rgb="FF0E7C7B"/>
        </stop>
      </gradientFill>
    </fill>
    <fill>
      <patternFill patternType="solid">
        <fgColor rgb="FF16305C"/>
      </patternFill>
    </fill>
    <fill>
      <patternFill patternType="solid">
        <fgColor rgb="FFEEF2F8"/>
      </patternFill>
    </fill>
    <fill>
      <gradientFill>
        <stop position="0">
          <color rgb="FFFFFFFF"/>
        </stop>
        <stop position="1">
          <color rgb="FFE3E8F2"/>
        </stop>
      </gradientFill>
    </fill>
    <fill>
      <patternFill patternType="solid">
        <fgColor rgb="FFE3E8F2"/>
      </patternFill>
    </fill>
    <fill>
      <patternFill patternType="solid">
        <fgColor rgb="FF0E7C7B"/>
      </patternFill>
    </fill>
    <fill>
      <gradientFill>
        <stop position="0">
          <color rgb="FFFFFFFF"/>
        </stop>
        <stop position="1">
          <color rgb="FFDCF0EF"/>
        </stop>
      </gradientFill>
    </fill>
    <fill>
      <patternFill patternType="solid">
        <fgColor rgb="FFDCF0EF"/>
      </patternFill>
    </fill>
    <fill>
      <patternFill patternType="solid">
        <fgColor rgb="FF5B3E90"/>
      </patternFill>
    </fill>
    <fill>
      <gradientFill>
        <stop position="0">
          <color rgb="FFFFFFFF"/>
        </stop>
        <stop position="1">
          <color rgb="FFE8E1F3"/>
        </stop>
      </gradientFill>
    </fill>
    <fill>
      <patternFill patternType="solid">
        <fgColor rgb="FFE8E1F3"/>
      </patternFill>
    </fill>
    <fill>
      <patternFill patternType="solid">
        <fgColor rgb="FF2E86AB"/>
      </patternFill>
    </fill>
    <fill>
      <gradientFill>
        <stop position="0">
          <color rgb="FFFFFFFF"/>
        </stop>
        <stop position="1">
          <color rgb="FFDDEEF5"/>
        </stop>
      </gradientFill>
    </fill>
    <fill>
      <patternFill patternType="solid">
        <fgColor rgb="FFDDEEF5"/>
      </patternFill>
    </fill>
    <fill>
      <patternFill patternType="solid">
        <fgColor rgb="FFB3261E"/>
      </patternFill>
    </fill>
    <fill>
      <gradientFill>
        <stop position="0">
          <color rgb="FFFFFFFF"/>
        </stop>
        <stop position="1">
          <color rgb="FFF8E0DE"/>
        </stop>
      </gradientFill>
    </fill>
    <fill>
      <patternFill patternType="solid">
        <fgColor rgb="FFD98C00"/>
      </patternFill>
    </fill>
    <fill>
      <gradientFill>
        <stop position="0">
          <color rgb="FFFFFFFF"/>
        </stop>
        <stop position="1">
          <color rgb="FFFBEFD6"/>
        </stop>
      </gradientFill>
    </fill>
    <fill>
      <patternFill patternType="solid">
        <fgColor rgb="FFFBEFD6"/>
      </patternFill>
    </fill>
    <fill>
      <patternFill patternType="solid">
        <fgColor rgb="FF1E7B34"/>
      </patternFill>
    </fill>
    <fill>
      <gradientFill>
        <stop position="0">
          <color rgb="FFFFFFFF"/>
        </stop>
        <stop position="1">
          <color rgb="FFDFF2E3"/>
        </stop>
      </gradientFill>
    </fill>
    <fill>
      <patternFill patternType="solid">
        <fgColor rgb="FFDFF2E3"/>
      </patternFill>
    </fill>
    <fill>
      <patternFill patternType="solid">
        <fgColor rgb="FF5A6B87"/>
      </patternFill>
    </fill>
  </fills>
  <borders count="2">
    <border>
      <left/>
      <right/>
      <top/>
      <bottom/>
      <diagonal/>
    </border>
    <border>
      <left style="thin">
        <color rgb="FFC9D3E3"/>
      </left>
      <right style="thin">
        <color rgb="FFC9D3E3"/>
      </right>
      <top style="thin">
        <color rgb="FFC9D3E3"/>
      </top>
      <bottom style="thin">
        <color rgb="FFC9D3E3"/>
      </bottom>
      <diagonal/>
    </border>
  </borders>
  <cellStyleXfs count="1">
    <xf numFmtId="0" fontId="0" fillId="0" borderId="0"/>
  </cellStyleXfs>
  <cellXfs count="82">
    <xf numFmtId="0" fontId="0" fillId="0" borderId="0" xfId="0"/>
    <xf numFmtId="0" fontId="21" fillId="0" borderId="0" xfId="0" applyFont="1"/>
    <xf numFmtId="0" fontId="11" fillId="0" borderId="0" xfId="0" applyFont="1" applyAlignment="1">
      <alignment horizontal="left" vertical="center"/>
    </xf>
    <xf numFmtId="0" fontId="12" fillId="3"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3" fillId="5" borderId="1" xfId="0" applyFont="1" applyFill="1" applyBorder="1" applyAlignment="1">
      <alignment horizontal="center" vertical="center"/>
    </xf>
    <xf numFmtId="0" fontId="14" fillId="8" borderId="1" xfId="0" applyFont="1" applyFill="1" applyBorder="1" applyAlignment="1">
      <alignment horizontal="center" vertical="center"/>
    </xf>
    <xf numFmtId="0" fontId="15" fillId="11" borderId="1" xfId="0" applyFont="1" applyFill="1" applyBorder="1" applyAlignment="1">
      <alignment horizontal="center" vertical="center"/>
    </xf>
    <xf numFmtId="9" fontId="16" fillId="14" borderId="1" xfId="0" applyNumberFormat="1" applyFont="1" applyFill="1" applyBorder="1" applyAlignment="1">
      <alignment horizontal="center" vertical="center"/>
    </xf>
    <xf numFmtId="0" fontId="17" fillId="17" borderId="1" xfId="0" applyFont="1" applyFill="1" applyBorder="1" applyAlignment="1">
      <alignment horizontal="center" vertical="center"/>
    </xf>
    <xf numFmtId="0" fontId="18" fillId="19" borderId="1" xfId="0" applyFont="1" applyFill="1" applyBorder="1" applyAlignment="1">
      <alignment horizontal="center" vertical="center"/>
    </xf>
    <xf numFmtId="0" fontId="19" fillId="22" borderId="1" xfId="0" applyFont="1" applyFill="1" applyBorder="1" applyAlignment="1">
      <alignment horizontal="center" vertical="center"/>
    </xf>
    <xf numFmtId="0" fontId="22" fillId="0" borderId="0" xfId="0" applyFont="1" applyAlignment="1">
      <alignment horizontal="left" vertical="center"/>
    </xf>
    <xf numFmtId="0" fontId="23" fillId="0" borderId="0" xfId="0" applyFont="1" applyAlignment="1">
      <alignment horizontal="left" vertical="center"/>
    </xf>
    <xf numFmtId="0" fontId="24" fillId="18" borderId="1" xfId="0" applyFont="1" applyFill="1" applyBorder="1" applyAlignment="1">
      <alignment horizontal="center" vertical="center"/>
    </xf>
    <xf numFmtId="0" fontId="7" fillId="0" borderId="1" xfId="0" applyFont="1" applyBorder="1" applyAlignment="1">
      <alignment horizontal="left" vertical="center" wrapText="1"/>
    </xf>
    <xf numFmtId="0" fontId="25" fillId="0" borderId="1" xfId="0" applyFont="1" applyBorder="1" applyAlignment="1">
      <alignment horizontal="center" vertical="center"/>
    </xf>
    <xf numFmtId="0" fontId="26" fillId="0" borderId="0" xfId="0" applyFont="1" applyAlignment="1">
      <alignment horizontal="left" vertical="center"/>
    </xf>
    <xf numFmtId="0" fontId="24" fillId="16" borderId="1" xfId="0" applyFont="1" applyFill="1" applyBorder="1" applyAlignment="1">
      <alignment horizontal="center" vertical="center" wrapText="1"/>
    </xf>
    <xf numFmtId="0" fontId="21" fillId="0" borderId="1" xfId="0" applyFont="1" applyBorder="1" applyAlignment="1">
      <alignment horizontal="center" vertical="center"/>
    </xf>
    <xf numFmtId="0" fontId="27" fillId="0" borderId="1" xfId="0" applyFont="1" applyBorder="1" applyAlignment="1">
      <alignment horizontal="left" vertical="center"/>
    </xf>
    <xf numFmtId="0" fontId="28" fillId="0" borderId="1" xfId="0" applyFont="1" applyBorder="1" applyAlignment="1">
      <alignment horizontal="left"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165" fontId="28" fillId="0" borderId="1" xfId="0" applyNumberFormat="1" applyFont="1" applyBorder="1" applyAlignment="1">
      <alignment horizontal="center" vertical="center"/>
    </xf>
    <xf numFmtId="0" fontId="4" fillId="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8" fillId="0" borderId="0" xfId="0" applyFont="1"/>
    <xf numFmtId="0" fontId="5" fillId="0" borderId="1" xfId="0" applyFont="1" applyBorder="1" applyAlignment="1">
      <alignment horizontal="center" vertical="center"/>
    </xf>
    <xf numFmtId="0" fontId="5" fillId="6" borderId="1" xfId="0" applyFont="1" applyFill="1" applyBorder="1" applyAlignment="1">
      <alignment horizontal="left" vertical="center" wrapText="1"/>
    </xf>
    <xf numFmtId="0" fontId="5" fillId="0" borderId="1" xfId="0" applyFont="1" applyBorder="1" applyAlignment="1">
      <alignment horizontal="left" vertical="center"/>
    </xf>
    <xf numFmtId="0" fontId="5" fillId="15" borderId="1" xfId="0" applyFont="1" applyFill="1" applyBorder="1" applyAlignment="1">
      <alignment horizontal="center" vertical="center"/>
    </xf>
    <xf numFmtId="0" fontId="5" fillId="20" borderId="1" xfId="0" applyFont="1" applyFill="1" applyBorder="1" applyAlignment="1">
      <alignment horizontal="center" vertical="center"/>
    </xf>
    <xf numFmtId="0" fontId="5" fillId="0" borderId="1" xfId="0" applyFont="1" applyBorder="1" applyAlignment="1">
      <alignment horizontal="left" vertical="center" wrapText="1"/>
    </xf>
    <xf numFmtId="165" fontId="5" fillId="0" borderId="1" xfId="0" applyNumberFormat="1" applyFont="1" applyBorder="1" applyAlignment="1">
      <alignment horizontal="center" vertical="center"/>
    </xf>
    <xf numFmtId="0" fontId="6" fillId="4" borderId="1" xfId="0" applyFont="1" applyFill="1" applyBorder="1" applyAlignment="1">
      <alignment horizontal="center" vertical="center"/>
    </xf>
    <xf numFmtId="0" fontId="7" fillId="0" borderId="1" xfId="0" applyFont="1" applyBorder="1" applyAlignment="1">
      <alignment horizontal="left" vertical="center"/>
    </xf>
    <xf numFmtId="0" fontId="0" fillId="6" borderId="0" xfId="0" applyFill="1"/>
    <xf numFmtId="0" fontId="0" fillId="15" borderId="0" xfId="0" applyFill="1"/>
    <xf numFmtId="0" fontId="0" fillId="20" borderId="0" xfId="0" applyFill="1"/>
    <xf numFmtId="0" fontId="4" fillId="7"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6" fillId="4" borderId="1" xfId="0" applyFont="1" applyFill="1" applyBorder="1" applyAlignment="1">
      <alignment horizontal="left" vertical="center"/>
    </xf>
    <xf numFmtId="165" fontId="5" fillId="9" borderId="1" xfId="0" applyNumberFormat="1" applyFont="1" applyFill="1" applyBorder="1" applyAlignment="1">
      <alignment horizontal="center" vertical="center"/>
    </xf>
    <xf numFmtId="165" fontId="6" fillId="4" borderId="1" xfId="0" applyNumberFormat="1" applyFont="1" applyFill="1" applyBorder="1" applyAlignment="1">
      <alignment horizontal="center" vertical="center"/>
    </xf>
    <xf numFmtId="0" fontId="5" fillId="12" borderId="1" xfId="0" applyFont="1" applyFill="1" applyBorder="1" applyAlignment="1">
      <alignment horizontal="center" vertical="center"/>
    </xf>
    <xf numFmtId="0" fontId="0" fillId="9" borderId="0" xfId="0" applyFill="1"/>
    <xf numFmtId="0" fontId="0" fillId="12" borderId="0" xfId="0" applyFill="1"/>
    <xf numFmtId="0" fontId="4" fillId="21" borderId="1" xfId="0" applyFont="1" applyFill="1" applyBorder="1" applyAlignment="1">
      <alignment horizontal="center" vertical="center" wrapText="1"/>
    </xf>
    <xf numFmtId="165" fontId="5" fillId="12" borderId="1" xfId="0" applyNumberFormat="1" applyFont="1" applyFill="1" applyBorder="1" applyAlignment="1">
      <alignment horizontal="center" vertical="center"/>
    </xf>
    <xf numFmtId="165" fontId="5" fillId="20" borderId="1" xfId="0" applyNumberFormat="1" applyFont="1" applyFill="1" applyBorder="1" applyAlignment="1">
      <alignment horizontal="center" vertical="center"/>
    </xf>
    <xf numFmtId="0" fontId="5" fillId="23" borderId="1" xfId="0" applyFont="1" applyFill="1" applyBorder="1" applyAlignment="1">
      <alignment horizontal="center" vertical="center"/>
    </xf>
    <xf numFmtId="0" fontId="0" fillId="23" borderId="0" xfId="0" applyFill="1"/>
    <xf numFmtId="0" fontId="6" fillId="0" borderId="1" xfId="0" applyFont="1" applyBorder="1" applyAlignment="1">
      <alignment horizontal="center" vertical="center"/>
    </xf>
    <xf numFmtId="0" fontId="9" fillId="0" borderId="1" xfId="0" applyFont="1" applyBorder="1" applyAlignment="1">
      <alignment horizontal="center" vertical="center"/>
    </xf>
    <xf numFmtId="0" fontId="31" fillId="0" borderId="1" xfId="0" applyFont="1" applyBorder="1" applyAlignment="1">
      <alignment horizontal="center" vertical="center"/>
    </xf>
    <xf numFmtId="0" fontId="9" fillId="0" borderId="1" xfId="0" applyFont="1" applyBorder="1" applyAlignment="1">
      <alignment horizontal="left" vertical="center" wrapText="1"/>
    </xf>
    <xf numFmtId="0" fontId="28" fillId="0" borderId="1" xfId="0" applyFont="1" applyBorder="1" applyAlignment="1">
      <alignment horizontal="left" vertical="center" wrapText="1"/>
    </xf>
    <xf numFmtId="0" fontId="31" fillId="0" borderId="1" xfId="0" applyFont="1" applyBorder="1" applyAlignment="1">
      <alignment horizontal="center" vertical="center" wrapText="1"/>
    </xf>
    <xf numFmtId="0" fontId="33" fillId="0" borderId="1" xfId="0" applyFont="1" applyBorder="1" applyAlignment="1">
      <alignment horizontal="left" vertical="center" wrapText="1"/>
    </xf>
    <xf numFmtId="0" fontId="30" fillId="0" borderId="0" xfId="0" applyFont="1" applyAlignment="1">
      <alignment horizontal="left" vertical="center"/>
    </xf>
    <xf numFmtId="0" fontId="0" fillId="0" borderId="0" xfId="0"/>
    <xf numFmtId="0" fontId="20" fillId="7" borderId="1" xfId="0" applyFont="1" applyFill="1" applyBorder="1" applyAlignment="1">
      <alignment horizontal="left" vertical="center" indent="1"/>
    </xf>
    <xf numFmtId="0" fontId="20" fillId="3" borderId="1" xfId="0" applyFont="1" applyFill="1" applyBorder="1" applyAlignment="1">
      <alignment horizontal="left" vertical="center" indent="1"/>
    </xf>
    <xf numFmtId="0" fontId="2" fillId="0" borderId="0" xfId="0" applyFont="1" applyAlignment="1">
      <alignment horizontal="center" vertical="center"/>
    </xf>
    <xf numFmtId="0" fontId="20" fillId="10" borderId="1" xfId="0" applyFont="1" applyFill="1" applyBorder="1" applyAlignment="1">
      <alignment horizontal="left" vertical="center" indent="1"/>
    </xf>
    <xf numFmtId="0" fontId="20" fillId="24" borderId="1" xfId="0" applyFont="1" applyFill="1" applyBorder="1" applyAlignment="1">
      <alignment horizontal="left" vertical="center" indent="1"/>
    </xf>
    <xf numFmtId="0" fontId="20" fillId="18" borderId="1" xfId="0" applyFont="1" applyFill="1" applyBorder="1" applyAlignment="1">
      <alignment horizontal="left" vertical="center" indent="1"/>
    </xf>
    <xf numFmtId="0" fontId="20" fillId="21" borderId="1" xfId="0" applyFont="1" applyFill="1" applyBorder="1" applyAlignment="1">
      <alignment horizontal="left" vertical="center" indent="1"/>
    </xf>
    <xf numFmtId="0" fontId="10" fillId="2" borderId="0" xfId="0" applyFont="1" applyFill="1"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left" vertical="center" indent="1"/>
    </xf>
    <xf numFmtId="0" fontId="3" fillId="0" borderId="0" xfId="0" applyFont="1" applyAlignment="1">
      <alignment horizontal="center" vertical="center"/>
    </xf>
    <xf numFmtId="0" fontId="32" fillId="0" borderId="0" xfId="0" applyFont="1" applyAlignment="1">
      <alignment horizontal="center" vertical="center"/>
    </xf>
  </cellXfs>
  <cellStyles count="1">
    <cellStyle name="Normal" xfId="0" builtinId="0"/>
  </cellStyles>
  <dxfs count="16">
    <dxf>
      <fill>
        <patternFill patternType="solid">
          <fgColor rgb="FFE8F5EC"/>
        </patternFill>
      </fill>
    </dxf>
    <dxf>
      <fill>
        <patternFill patternType="solid">
          <fgColor rgb="FFFDF3E0"/>
        </patternFill>
      </fill>
    </dxf>
    <dxf>
      <fill>
        <patternFill patternType="solid">
          <fgColor rgb="FFFBE4E2"/>
        </patternFill>
      </fill>
    </dxf>
    <dxf>
      <fill>
        <patternFill patternType="solid">
          <fgColor rgb="FFDFF2E3"/>
        </patternFill>
      </fill>
    </dxf>
    <dxf>
      <fill>
        <patternFill patternType="solid">
          <fgColor rgb="FFFBEFD6"/>
        </patternFill>
      </fill>
    </dxf>
    <dxf>
      <fill>
        <patternFill patternType="solid">
          <fgColor rgb="FFFBE4E2"/>
        </patternFill>
      </fill>
    </dxf>
    <dxf>
      <font>
        <b/>
        <color rgb="FFD98C00"/>
        <name val="Calibri"/>
      </font>
      <fill>
        <patternFill patternType="solid">
          <fgColor rgb="FFFBEBD0"/>
        </patternFill>
      </fill>
    </dxf>
    <dxf>
      <font>
        <b/>
        <color rgb="FFB3261E"/>
        <name val="Calibri"/>
      </font>
      <fill>
        <patternFill patternType="solid">
          <fgColor rgb="FFF4D7D5"/>
        </patternFill>
      </fill>
    </dxf>
    <dxf>
      <fill>
        <patternFill patternType="solid">
          <fgColor rgb="FFFFF4D6"/>
        </patternFill>
      </fill>
    </dxf>
    <dxf>
      <font>
        <color rgb="FF1E7B34"/>
        <name val="Calibri"/>
      </font>
      <fill>
        <patternFill patternType="solid">
          <fgColor rgb="FFDDF0E1"/>
        </patternFill>
      </fill>
    </dxf>
    <dxf>
      <font>
        <b/>
        <color rgb="FFD98C00"/>
        <name val="Calibri"/>
      </font>
      <fill>
        <patternFill patternType="solid">
          <fgColor rgb="FFFBEBD0"/>
        </patternFill>
      </fill>
    </dxf>
    <dxf>
      <font>
        <b/>
        <color rgb="FFB3261E"/>
        <name val="Calibri"/>
      </font>
      <fill>
        <patternFill patternType="solid">
          <fgColor rgb="FFF4D7D5"/>
        </patternFill>
      </fill>
    </dxf>
    <dxf>
      <font>
        <b/>
        <color rgb="FFD98C00"/>
        <name val="Calibri"/>
      </font>
      <fill>
        <patternFill patternType="solid">
          <fgColor rgb="FFFDF3E0"/>
        </patternFill>
      </fill>
    </dxf>
    <dxf>
      <font>
        <b/>
        <color rgb="FFB3261E"/>
        <name val="Calibri"/>
      </font>
      <fill>
        <patternFill patternType="solid">
          <fgColor rgb="FFFBE4E2"/>
        </patternFill>
      </fill>
    </dxf>
    <dxf>
      <font>
        <b/>
        <color rgb="FF1E7B34"/>
        <name val="Calibri"/>
      </font>
      <fill>
        <patternFill patternType="solid">
          <fgColor rgb="FFE8F5EC"/>
        </patternFill>
      </fill>
    </dxf>
    <dxf>
      <fill>
        <patternFill patternType="solid">
          <fgColor rgb="FFFBE4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Positions by Country</a:t>
            </a:r>
          </a:p>
        </c:rich>
      </c:tx>
      <c:layout>
        <c:manualLayout>
          <c:xMode val="edge"/>
          <c:yMode val="edge"/>
          <c:x val="0.69692249103942649"/>
          <c:y val="0"/>
        </c:manualLayout>
      </c:layout>
      <c:overlay val="1"/>
    </c:title>
    <c:autoTitleDeleted val="0"/>
    <c:view3D>
      <c:rotX val="15"/>
      <c:rotY val="20"/>
      <c:rAngAx val="1"/>
    </c:view3D>
    <c:floor>
      <c:thickness val="0"/>
    </c:floor>
    <c:sideWall>
      <c:thickness val="0"/>
    </c:sideWall>
    <c:backWall>
      <c:thickness val="0"/>
    </c:backWall>
    <c:plotArea>
      <c:layout/>
      <c:bar3DChart>
        <c:barDir val="col"/>
        <c:grouping val="clustered"/>
        <c:varyColors val="1"/>
        <c:ser>
          <c:idx val="0"/>
          <c:order val="0"/>
          <c:tx>
            <c:strRef>
              <c:f>Dashboard!$Q$3</c:f>
              <c:strCache>
                <c:ptCount val="1"/>
                <c:pt idx="0">
                  <c:v>Count</c:v>
                </c:pt>
              </c:strCache>
            </c:strRef>
          </c:tx>
          <c:spPr>
            <a:ln>
              <a:prstDash val="solid"/>
            </a:ln>
          </c:spPr>
          <c:invertIfNegative val="1"/>
          <c:dPt>
            <c:idx val="0"/>
            <c:invertIfNegative val="1"/>
            <c:bubble3D val="0"/>
            <c:spPr>
              <a:solidFill>
                <a:srgbClr val="16305C"/>
              </a:solidFill>
              <a:ln>
                <a:solidFill>
                  <a:srgbClr val="FFFFFF"/>
                </a:solidFill>
                <a:prstDash val="solid"/>
              </a:ln>
            </c:spPr>
            <c:extLst>
              <c:ext xmlns:c16="http://schemas.microsoft.com/office/drawing/2014/chart" uri="{C3380CC4-5D6E-409C-BE32-E72D297353CC}">
                <c16:uniqueId val="{00000001-BD2D-4443-A750-373D852A0430}"/>
              </c:ext>
            </c:extLst>
          </c:dPt>
          <c:dPt>
            <c:idx val="1"/>
            <c:invertIfNegative val="1"/>
            <c:bubble3D val="0"/>
            <c:spPr>
              <a:solidFill>
                <a:srgbClr val="0E7C7B"/>
              </a:solidFill>
              <a:ln>
                <a:solidFill>
                  <a:srgbClr val="FFFFFF"/>
                </a:solidFill>
                <a:prstDash val="solid"/>
              </a:ln>
            </c:spPr>
            <c:extLst>
              <c:ext xmlns:c16="http://schemas.microsoft.com/office/drawing/2014/chart" uri="{C3380CC4-5D6E-409C-BE32-E72D297353CC}">
                <c16:uniqueId val="{00000003-BD2D-4443-A750-373D852A0430}"/>
              </c:ext>
            </c:extLst>
          </c:dPt>
          <c:dPt>
            <c:idx val="2"/>
            <c:invertIfNegative val="1"/>
            <c:bubble3D val="0"/>
            <c:spPr>
              <a:solidFill>
                <a:srgbClr val="D98C00"/>
              </a:solidFill>
              <a:ln>
                <a:solidFill>
                  <a:srgbClr val="FFFFFF"/>
                </a:solidFill>
                <a:prstDash val="solid"/>
              </a:ln>
            </c:spPr>
            <c:extLst>
              <c:ext xmlns:c16="http://schemas.microsoft.com/office/drawing/2014/chart" uri="{C3380CC4-5D6E-409C-BE32-E72D297353CC}">
                <c16:uniqueId val="{00000005-BD2D-4443-A750-373D852A0430}"/>
              </c:ext>
            </c:extLst>
          </c:dPt>
          <c:dPt>
            <c:idx val="3"/>
            <c:invertIfNegative val="1"/>
            <c:bubble3D val="0"/>
            <c:spPr>
              <a:solidFill>
                <a:srgbClr val="B3261E"/>
              </a:solidFill>
              <a:ln>
                <a:solidFill>
                  <a:srgbClr val="FFFFFF"/>
                </a:solidFill>
                <a:prstDash val="solid"/>
              </a:ln>
            </c:spPr>
            <c:extLst>
              <c:ext xmlns:c16="http://schemas.microsoft.com/office/drawing/2014/chart" uri="{C3380CC4-5D6E-409C-BE32-E72D297353CC}">
                <c16:uniqueId val="{00000007-BD2D-4443-A750-373D852A0430}"/>
              </c:ext>
            </c:extLst>
          </c:dPt>
          <c:dPt>
            <c:idx val="4"/>
            <c:invertIfNegative val="1"/>
            <c:bubble3D val="0"/>
            <c:spPr>
              <a:solidFill>
                <a:srgbClr val="5B3E90"/>
              </a:solidFill>
              <a:ln>
                <a:solidFill>
                  <a:srgbClr val="FFFFFF"/>
                </a:solidFill>
                <a:prstDash val="solid"/>
              </a:ln>
            </c:spPr>
            <c:extLst>
              <c:ext xmlns:c16="http://schemas.microsoft.com/office/drawing/2014/chart" uri="{C3380CC4-5D6E-409C-BE32-E72D297353CC}">
                <c16:uniqueId val="{00000009-BD2D-4443-A750-373D852A0430}"/>
              </c:ext>
            </c:extLst>
          </c:dPt>
          <c:dPt>
            <c:idx val="5"/>
            <c:invertIfNegative val="1"/>
            <c:bubble3D val="0"/>
            <c:spPr>
              <a:solidFill>
                <a:srgbClr val="1E7B34"/>
              </a:solidFill>
              <a:ln>
                <a:solidFill>
                  <a:srgbClr val="FFFFFF"/>
                </a:solidFill>
                <a:prstDash val="solid"/>
              </a:ln>
            </c:spPr>
            <c:extLst>
              <c:ext xmlns:c16="http://schemas.microsoft.com/office/drawing/2014/chart" uri="{C3380CC4-5D6E-409C-BE32-E72D297353CC}">
                <c16:uniqueId val="{0000000B-BD2D-4443-A750-373D852A0430}"/>
              </c:ext>
            </c:extLst>
          </c:dPt>
          <c:dPt>
            <c:idx val="6"/>
            <c:invertIfNegative val="1"/>
            <c:bubble3D val="0"/>
            <c:spPr>
              <a:solidFill>
                <a:srgbClr val="2E86AB"/>
              </a:solidFill>
              <a:ln>
                <a:solidFill>
                  <a:srgbClr val="FFFFFF"/>
                </a:solidFill>
                <a:prstDash val="solid"/>
              </a:ln>
            </c:spPr>
            <c:extLst>
              <c:ext xmlns:c16="http://schemas.microsoft.com/office/drawing/2014/chart" uri="{C3380CC4-5D6E-409C-BE32-E72D297353CC}">
                <c16:uniqueId val="{0000000D-BD2D-4443-A750-373D852A0430}"/>
              </c:ext>
            </c:extLst>
          </c:dPt>
          <c:dPt>
            <c:idx val="7"/>
            <c:invertIfNegative val="1"/>
            <c:bubble3D val="0"/>
            <c:spPr>
              <a:solidFill>
                <a:srgbClr val="C2185B"/>
              </a:solidFill>
              <a:ln>
                <a:solidFill>
                  <a:srgbClr val="FFFFFF"/>
                </a:solidFill>
                <a:prstDash val="solid"/>
              </a:ln>
            </c:spPr>
            <c:extLst>
              <c:ext xmlns:c16="http://schemas.microsoft.com/office/drawing/2014/chart" uri="{C3380CC4-5D6E-409C-BE32-E72D297353CC}">
                <c16:uniqueId val="{0000000F-BD2D-4443-A750-373D852A0430}"/>
              </c:ext>
            </c:extLst>
          </c:dPt>
          <c:dPt>
            <c:idx val="8"/>
            <c:invertIfNegative val="1"/>
            <c:bubble3D val="0"/>
            <c:spPr>
              <a:solidFill>
                <a:srgbClr val="7B5E2A"/>
              </a:solidFill>
              <a:ln>
                <a:solidFill>
                  <a:srgbClr val="FFFFFF"/>
                </a:solidFill>
                <a:prstDash val="solid"/>
              </a:ln>
            </c:spPr>
            <c:extLst>
              <c:ext xmlns:c16="http://schemas.microsoft.com/office/drawing/2014/chart" uri="{C3380CC4-5D6E-409C-BE32-E72D297353CC}">
                <c16:uniqueId val="{00000011-BD2D-4443-A750-373D852A0430}"/>
              </c:ext>
            </c:extLst>
          </c:dPt>
          <c:dPt>
            <c:idx val="9"/>
            <c:invertIfNegative val="1"/>
            <c:bubble3D val="0"/>
            <c:spPr>
              <a:solidFill>
                <a:srgbClr val="00838F"/>
              </a:solidFill>
              <a:ln>
                <a:solidFill>
                  <a:srgbClr val="FFFFFF"/>
                </a:solidFill>
                <a:prstDash val="solid"/>
              </a:ln>
            </c:spPr>
            <c:extLst>
              <c:ext xmlns:c16="http://schemas.microsoft.com/office/drawing/2014/chart" uri="{C3380CC4-5D6E-409C-BE32-E72D297353CC}">
                <c16:uniqueId val="{00000013-BD2D-4443-A750-373D852A0430}"/>
              </c:ext>
            </c:extLst>
          </c:dPt>
          <c:dPt>
            <c:idx val="10"/>
            <c:invertIfNegative val="1"/>
            <c:bubble3D val="0"/>
            <c:spPr>
              <a:solidFill>
                <a:srgbClr val="8E24AA"/>
              </a:solidFill>
              <a:ln>
                <a:solidFill>
                  <a:srgbClr val="FFFFFF"/>
                </a:solidFill>
                <a:prstDash val="solid"/>
              </a:ln>
            </c:spPr>
            <c:extLst>
              <c:ext xmlns:c16="http://schemas.microsoft.com/office/drawing/2014/chart" uri="{C3380CC4-5D6E-409C-BE32-E72D297353CC}">
                <c16:uniqueId val="{00000015-BD2D-4443-A750-373D852A0430}"/>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Dashboard!$P$4:$P$14</c:f>
              <c:strCache>
                <c:ptCount val="11"/>
                <c:pt idx="0">
                  <c:v>Netherlands</c:v>
                </c:pt>
                <c:pt idx="1">
                  <c:v>Sweden</c:v>
                </c:pt>
                <c:pt idx="2">
                  <c:v>Denmark</c:v>
                </c:pt>
                <c:pt idx="3">
                  <c:v>Luxembourg</c:v>
                </c:pt>
                <c:pt idx="4">
                  <c:v>Switzerland</c:v>
                </c:pt>
                <c:pt idx="5">
                  <c:v>Germany</c:v>
                </c:pt>
                <c:pt idx="6">
                  <c:v>Belgium</c:v>
                </c:pt>
                <c:pt idx="7">
                  <c:v>Finland</c:v>
                </c:pt>
                <c:pt idx="8">
                  <c:v>Norway</c:v>
                </c:pt>
                <c:pt idx="9">
                  <c:v>France</c:v>
                </c:pt>
                <c:pt idx="10">
                  <c:v>United Kingdom</c:v>
                </c:pt>
              </c:strCache>
            </c:strRef>
          </c:cat>
          <c:val>
            <c:numRef>
              <c:f>Dashboard!$Q$4:$Q$14</c:f>
              <c:numCache>
                <c:formatCode>General</c:formatCode>
                <c:ptCount val="11"/>
                <c:pt idx="0">
                  <c:v>6</c:v>
                </c:pt>
                <c:pt idx="1">
                  <c:v>3</c:v>
                </c:pt>
                <c:pt idx="2">
                  <c:v>2</c:v>
                </c:pt>
                <c:pt idx="3">
                  <c:v>2</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16-BD2D-4443-A750-373D852A0430}"/>
            </c:ext>
          </c:extLst>
        </c:ser>
        <c:dLbls>
          <c:showLegendKey val="0"/>
          <c:showVal val="1"/>
          <c:showCatName val="0"/>
          <c:showSerName val="0"/>
          <c:showPercent val="0"/>
          <c:showBubbleSize val="1"/>
        </c:dLbls>
        <c:gapWidth val="60"/>
        <c:gapDepth val="60"/>
        <c:shape val="box"/>
        <c:axId val="10"/>
        <c:axId val="100"/>
        <c:axId val="1000"/>
      </c:bar3D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Positions</a:t>
                </a:r>
              </a:p>
            </c:rich>
          </c:tx>
          <c:layout>
            <c:manualLayout>
              <c:xMode val="edge"/>
              <c:yMode val="edge"/>
              <c:x val="1.7885304659498221E-3"/>
              <c:y val="0.42245849673202612"/>
            </c:manualLayout>
          </c:layout>
          <c:overlay val="1"/>
        </c:title>
        <c:numFmt formatCode="General" sourceLinked="1"/>
        <c:majorTickMark val="none"/>
        <c:minorTickMark val="none"/>
        <c:tickLblPos val="nextTo"/>
        <c:crossAx val="10"/>
        <c:crosses val="autoZero"/>
        <c:crossBetween val="between"/>
      </c:valAx>
      <c:serAx>
        <c:axId val="1000"/>
        <c:scaling>
          <c:orientation val="minMax"/>
        </c:scaling>
        <c:delete val="1"/>
        <c:axPos val="b"/>
        <c:majorTickMark val="none"/>
        <c:minorTickMark val="none"/>
        <c:tickLblPos val="nextTo"/>
        <c:crossAx val="10"/>
        <c:crosses val="autoZero"/>
      </c:serAx>
    </c:plotArea>
    <c:plotVisOnly val="0"/>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Outreach Status</a:t>
            </a:r>
          </a:p>
        </c:rich>
      </c:tx>
      <c:overlay val="1"/>
    </c:title>
    <c:autoTitleDeleted val="0"/>
    <c:view3D>
      <c:rotX val="15"/>
      <c:rotY val="0"/>
      <c:rAngAx val="0"/>
    </c:view3D>
    <c:floor>
      <c:thickness val="0"/>
    </c:floor>
    <c:sideWall>
      <c:thickness val="0"/>
    </c:sideWall>
    <c:backWall>
      <c:thickness val="0"/>
    </c:backWall>
    <c:plotArea>
      <c:layout/>
      <c:pie3DChart>
        <c:varyColors val="1"/>
        <c:ser>
          <c:idx val="0"/>
          <c:order val="0"/>
          <c:tx>
            <c:strRef>
              <c:f>Dashboard!$Q$17</c:f>
              <c:strCache>
                <c:ptCount val="1"/>
                <c:pt idx="0">
                  <c:v>Count</c:v>
                </c:pt>
              </c:strCache>
            </c:strRef>
          </c:tx>
          <c:spPr>
            <a:ln>
              <a:prstDash val="solid"/>
            </a:ln>
          </c:spPr>
          <c:dPt>
            <c:idx val="0"/>
            <c:bubble3D val="0"/>
            <c:spPr>
              <a:solidFill>
                <a:srgbClr val="0E7C7B"/>
              </a:solidFill>
              <a:ln>
                <a:solidFill>
                  <a:srgbClr val="FFFFFF"/>
                </a:solidFill>
                <a:prstDash val="solid"/>
              </a:ln>
            </c:spPr>
            <c:extLst>
              <c:ext xmlns:c16="http://schemas.microsoft.com/office/drawing/2014/chart" uri="{C3380CC4-5D6E-409C-BE32-E72D297353CC}">
                <c16:uniqueId val="{00000001-FC65-457F-A41B-E20E73641AD4}"/>
              </c:ext>
            </c:extLst>
          </c:dPt>
          <c:dPt>
            <c:idx val="1"/>
            <c:bubble3D val="0"/>
            <c:spPr>
              <a:solidFill>
                <a:srgbClr val="5A6B87"/>
              </a:solidFill>
              <a:ln>
                <a:solidFill>
                  <a:srgbClr val="FFFFFF"/>
                </a:solidFill>
                <a:prstDash val="solid"/>
              </a:ln>
            </c:spPr>
            <c:extLst>
              <c:ext xmlns:c16="http://schemas.microsoft.com/office/drawing/2014/chart" uri="{C3380CC4-5D6E-409C-BE32-E72D297353CC}">
                <c16:uniqueId val="{00000003-FC65-457F-A41B-E20E73641AD4}"/>
              </c:ext>
            </c:extLst>
          </c:dPt>
          <c:dPt>
            <c:idx val="2"/>
            <c:bubble3D val="0"/>
            <c:spPr>
              <a:solidFill>
                <a:srgbClr val="1E7B34"/>
              </a:solidFill>
              <a:ln>
                <a:solidFill>
                  <a:srgbClr val="FFFFFF"/>
                </a:solidFill>
                <a:prstDash val="solid"/>
              </a:ln>
            </c:spPr>
            <c:extLst>
              <c:ext xmlns:c16="http://schemas.microsoft.com/office/drawing/2014/chart" uri="{C3380CC4-5D6E-409C-BE32-E72D297353CC}">
                <c16:uniqueId val="{00000005-FC65-457F-A41B-E20E73641AD4}"/>
              </c:ext>
            </c:extLst>
          </c:dPt>
          <c:dPt>
            <c:idx val="3"/>
            <c:bubble3D val="0"/>
            <c:spPr>
              <a:solidFill>
                <a:srgbClr val="D98C00"/>
              </a:solidFill>
              <a:ln>
                <a:solidFill>
                  <a:srgbClr val="FFFFFF"/>
                </a:solidFill>
                <a:prstDash val="solid"/>
              </a:ln>
            </c:spPr>
            <c:extLst>
              <c:ext xmlns:c16="http://schemas.microsoft.com/office/drawing/2014/chart" uri="{C3380CC4-5D6E-409C-BE32-E72D297353CC}">
                <c16:uniqueId val="{00000007-FC65-457F-A41B-E20E73641AD4}"/>
              </c:ext>
            </c:extLst>
          </c:dPt>
          <c:dPt>
            <c:idx val="4"/>
            <c:bubble3D val="0"/>
            <c:spPr>
              <a:solidFill>
                <a:srgbClr val="B3261E"/>
              </a:solidFill>
              <a:ln>
                <a:solidFill>
                  <a:srgbClr val="FFFFFF"/>
                </a:solidFill>
                <a:prstDash val="solid"/>
              </a:ln>
            </c:spPr>
            <c:extLst>
              <c:ext xmlns:c16="http://schemas.microsoft.com/office/drawing/2014/chart" uri="{C3380CC4-5D6E-409C-BE32-E72D297353CC}">
                <c16:uniqueId val="{00000009-FC65-457F-A41B-E20E73641AD4}"/>
              </c:ext>
            </c:extLst>
          </c:dPt>
          <c:dPt>
            <c:idx val="5"/>
            <c:bubble3D val="0"/>
            <c:spPr>
              <a:solidFill>
                <a:srgbClr val="5B3E90"/>
              </a:solidFill>
              <a:ln>
                <a:solidFill>
                  <a:srgbClr val="FFFFFF"/>
                </a:solidFill>
                <a:prstDash val="solid"/>
              </a:ln>
            </c:spPr>
            <c:extLst>
              <c:ext xmlns:c16="http://schemas.microsoft.com/office/drawing/2014/chart" uri="{C3380CC4-5D6E-409C-BE32-E72D297353CC}">
                <c16:uniqueId val="{0000000B-FC65-457F-A41B-E20E73641AD4}"/>
              </c:ext>
            </c:extLst>
          </c:dPt>
          <c:dPt>
            <c:idx val="6"/>
            <c:bubble3D val="0"/>
            <c:spPr>
              <a:solidFill>
                <a:srgbClr val="2E86AB"/>
              </a:solidFill>
              <a:ln>
                <a:solidFill>
                  <a:srgbClr val="FFFFFF"/>
                </a:solidFill>
                <a:prstDash val="solid"/>
              </a:ln>
            </c:spPr>
            <c:extLst>
              <c:ext xmlns:c16="http://schemas.microsoft.com/office/drawing/2014/chart" uri="{C3380CC4-5D6E-409C-BE32-E72D297353CC}">
                <c16:uniqueId val="{0000000D-FC65-457F-A41B-E20E73641AD4}"/>
              </c:ext>
            </c:extLst>
          </c:dPt>
          <c:dLbls>
            <c:spPr>
              <a:noFill/>
              <a:ln>
                <a:noFill/>
              </a:ln>
              <a:effectLst/>
            </c:spPr>
            <c:showLegendKey val="0"/>
            <c:showVal val="1"/>
            <c:showCatName val="0"/>
            <c:showSerName val="0"/>
            <c:showPercent val="1"/>
            <c:showBubbleSize val="1"/>
            <c:showLeaderLines val="1"/>
            <c:extLst>
              <c:ext xmlns:c15="http://schemas.microsoft.com/office/drawing/2012/chart" uri="{CE6537A1-D6FC-4f65-9D91-7224C49458BB}"/>
            </c:extLst>
          </c:dLbls>
          <c:cat>
            <c:strRef>
              <c:f>Dashboard!$P$18:$P$24</c:f>
              <c:strCache>
                <c:ptCount val="7"/>
                <c:pt idx="0">
                  <c:v>Sent</c:v>
                </c:pt>
                <c:pt idx="1">
                  <c:v>No Reply</c:v>
                </c:pt>
                <c:pt idx="2">
                  <c:v>Positive Reply</c:v>
                </c:pt>
                <c:pt idx="3">
                  <c:v>Neutral Reply</c:v>
                </c:pt>
                <c:pt idx="4">
                  <c:v>Rejected</c:v>
                </c:pt>
                <c:pt idx="5">
                  <c:v>Interview Invitation</c:v>
                </c:pt>
                <c:pt idx="6">
                  <c:v>Accepted</c:v>
                </c:pt>
              </c:strCache>
            </c:strRef>
          </c:cat>
          <c:val>
            <c:numRef>
              <c:f>Dashboard!$Q$18:$Q$24</c:f>
              <c:numCache>
                <c:formatCode>General</c:formatCode>
                <c:ptCount val="7"/>
                <c:pt idx="0">
                  <c:v>5</c:v>
                </c:pt>
                <c:pt idx="1">
                  <c:v>5</c:v>
                </c:pt>
                <c:pt idx="2">
                  <c:v>2</c:v>
                </c:pt>
                <c:pt idx="3">
                  <c:v>3</c:v>
                </c:pt>
                <c:pt idx="4">
                  <c:v>2</c:v>
                </c:pt>
                <c:pt idx="5">
                  <c:v>2</c:v>
                </c:pt>
                <c:pt idx="6">
                  <c:v>1</c:v>
                </c:pt>
              </c:numCache>
            </c:numRef>
          </c:val>
          <c:extLst>
            <c:ext xmlns:c16="http://schemas.microsoft.com/office/drawing/2014/chart" uri="{C3380CC4-5D6E-409C-BE32-E72D297353CC}">
              <c16:uniqueId val="{0000000E-FC65-457F-A41B-E20E73641AD4}"/>
            </c:ext>
          </c:extLst>
        </c:ser>
        <c:dLbls>
          <c:showLegendKey val="0"/>
          <c:showVal val="1"/>
          <c:showCatName val="0"/>
          <c:showSerName val="0"/>
          <c:showPercent val="1"/>
          <c:showBubbleSize val="1"/>
          <c:showLeaderLines val="1"/>
        </c:dLbls>
      </c:pie3DChart>
    </c:plotArea>
    <c:legend>
      <c:legendPos val="r"/>
      <c:legendEntry>
        <c:idx val="2"/>
        <c:txPr>
          <a:bodyPr/>
          <a:lstStyle/>
          <a:p>
            <a:pPr>
              <a:defRPr>
                <a:solidFill>
                  <a:srgbClr val="FF0000"/>
                </a:solidFill>
              </a:defRPr>
            </a:pPr>
            <a:endParaRPr lang="en-US"/>
          </a:p>
        </c:txPr>
      </c:legendEntry>
      <c:legendEntry>
        <c:idx val="3"/>
        <c:txPr>
          <a:bodyPr/>
          <a:lstStyle/>
          <a:p>
            <a:pPr>
              <a:defRPr>
                <a:solidFill>
                  <a:srgbClr val="FF0000"/>
                </a:solidFill>
              </a:defRPr>
            </a:pPr>
            <a:endParaRPr lang="en-US"/>
          </a:p>
        </c:txPr>
      </c:legendEntry>
      <c:layout>
        <c:manualLayout>
          <c:xMode val="edge"/>
          <c:yMode val="edge"/>
          <c:x val="0.71278341351495822"/>
          <c:y val="3.6904901960784317E-2"/>
          <c:w val="0.24939158062908037"/>
          <c:h val="0.95109215686274506"/>
        </c:manualLayout>
      </c:layout>
      <c:overlay val="1"/>
    </c:legend>
    <c:plotVisOnly val="0"/>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Application Funnel</a:t>
            </a:r>
          </a:p>
        </c:rich>
      </c:tx>
      <c:overlay val="1"/>
    </c:title>
    <c:autoTitleDeleted val="0"/>
    <c:view3D>
      <c:rotX val="15"/>
      <c:rotY val="20"/>
      <c:rAngAx val="1"/>
    </c:view3D>
    <c:floor>
      <c:thickness val="0"/>
    </c:floor>
    <c:sideWall>
      <c:thickness val="0"/>
    </c:sideWall>
    <c:backWall>
      <c:thickness val="0"/>
    </c:backWall>
    <c:plotArea>
      <c:layout/>
      <c:bar3DChart>
        <c:barDir val="bar"/>
        <c:grouping val="clustered"/>
        <c:varyColors val="1"/>
        <c:ser>
          <c:idx val="0"/>
          <c:order val="0"/>
          <c:tx>
            <c:strRef>
              <c:f>Dashboard!$Q$32</c:f>
              <c:strCache>
                <c:ptCount val="1"/>
                <c:pt idx="0">
                  <c:v>Count</c:v>
                </c:pt>
              </c:strCache>
            </c:strRef>
          </c:tx>
          <c:spPr>
            <a:ln>
              <a:prstDash val="solid"/>
            </a:ln>
          </c:spPr>
          <c:invertIfNegative val="1"/>
          <c:dPt>
            <c:idx val="0"/>
            <c:invertIfNegative val="1"/>
            <c:bubble3D val="0"/>
            <c:spPr>
              <a:solidFill>
                <a:srgbClr val="16305C"/>
              </a:solidFill>
              <a:ln>
                <a:solidFill>
                  <a:srgbClr val="FFFFFF"/>
                </a:solidFill>
                <a:prstDash val="solid"/>
              </a:ln>
            </c:spPr>
            <c:extLst>
              <c:ext xmlns:c16="http://schemas.microsoft.com/office/drawing/2014/chart" uri="{C3380CC4-5D6E-409C-BE32-E72D297353CC}">
                <c16:uniqueId val="{00000001-5DB1-4378-8AD4-B268A3E79BDF}"/>
              </c:ext>
            </c:extLst>
          </c:dPt>
          <c:dPt>
            <c:idx val="1"/>
            <c:invertIfNegative val="1"/>
            <c:bubble3D val="0"/>
            <c:spPr>
              <a:solidFill>
                <a:srgbClr val="0E7C7B"/>
              </a:solidFill>
              <a:ln>
                <a:solidFill>
                  <a:srgbClr val="FFFFFF"/>
                </a:solidFill>
                <a:prstDash val="solid"/>
              </a:ln>
            </c:spPr>
            <c:extLst>
              <c:ext xmlns:c16="http://schemas.microsoft.com/office/drawing/2014/chart" uri="{C3380CC4-5D6E-409C-BE32-E72D297353CC}">
                <c16:uniqueId val="{00000003-5DB1-4378-8AD4-B268A3E79BDF}"/>
              </c:ext>
            </c:extLst>
          </c:dPt>
          <c:dPt>
            <c:idx val="2"/>
            <c:invertIfNegative val="1"/>
            <c:bubble3D val="0"/>
            <c:spPr>
              <a:solidFill>
                <a:srgbClr val="D98C00"/>
              </a:solidFill>
              <a:ln>
                <a:solidFill>
                  <a:srgbClr val="FFFFFF"/>
                </a:solidFill>
                <a:prstDash val="solid"/>
              </a:ln>
            </c:spPr>
            <c:extLst>
              <c:ext xmlns:c16="http://schemas.microsoft.com/office/drawing/2014/chart" uri="{C3380CC4-5D6E-409C-BE32-E72D297353CC}">
                <c16:uniqueId val="{00000005-5DB1-4378-8AD4-B268A3E79BDF}"/>
              </c:ext>
            </c:extLst>
          </c:dPt>
          <c:dPt>
            <c:idx val="3"/>
            <c:invertIfNegative val="1"/>
            <c:bubble3D val="0"/>
            <c:spPr>
              <a:solidFill>
                <a:srgbClr val="1E7B34"/>
              </a:solidFill>
              <a:ln>
                <a:solidFill>
                  <a:srgbClr val="FFFFFF"/>
                </a:solidFill>
                <a:prstDash val="solid"/>
              </a:ln>
            </c:spPr>
            <c:extLst>
              <c:ext xmlns:c16="http://schemas.microsoft.com/office/drawing/2014/chart" uri="{C3380CC4-5D6E-409C-BE32-E72D297353CC}">
                <c16:uniqueId val="{00000007-5DB1-4378-8AD4-B268A3E79BDF}"/>
              </c:ext>
            </c:extLst>
          </c:dPt>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Dashboard!$P$33:$P$36</c:f>
              <c:strCache>
                <c:ptCount val="4"/>
                <c:pt idx="0">
                  <c:v>1. Emails sent</c:v>
                </c:pt>
                <c:pt idx="1">
                  <c:v>2. Replies received</c:v>
                </c:pt>
                <c:pt idx="2">
                  <c:v>3. Interview invitations</c:v>
                </c:pt>
                <c:pt idx="3">
                  <c:v>4. Final acceptances</c:v>
                </c:pt>
              </c:strCache>
            </c:strRef>
          </c:cat>
          <c:val>
            <c:numRef>
              <c:f>Dashboard!$Q$33:$Q$36</c:f>
              <c:numCache>
                <c:formatCode>General</c:formatCode>
                <c:ptCount val="4"/>
                <c:pt idx="0">
                  <c:v>20</c:v>
                </c:pt>
                <c:pt idx="1">
                  <c:v>10</c:v>
                </c:pt>
                <c:pt idx="2">
                  <c:v>2</c:v>
                </c:pt>
                <c:pt idx="3">
                  <c:v>1</c:v>
                </c:pt>
              </c:numCache>
            </c:numRef>
          </c:val>
          <c:extLst>
            <c:ext xmlns:c16="http://schemas.microsoft.com/office/drawing/2014/chart" uri="{C3380CC4-5D6E-409C-BE32-E72D297353CC}">
              <c16:uniqueId val="{00000008-5DB1-4378-8AD4-B268A3E79BDF}"/>
            </c:ext>
          </c:extLst>
        </c:ser>
        <c:dLbls>
          <c:showLegendKey val="0"/>
          <c:showVal val="1"/>
          <c:showCatName val="0"/>
          <c:showSerName val="0"/>
          <c:showPercent val="0"/>
          <c:showBubbleSize val="1"/>
        </c:dLbls>
        <c:gapWidth val="50"/>
        <c:gapDepth val="80"/>
        <c:shape val="box"/>
        <c:axId val="10"/>
        <c:axId val="100"/>
        <c:axId val="1000"/>
      </c:bar3D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serAx>
        <c:axId val="1000"/>
        <c:scaling>
          <c:orientation val="minMax"/>
        </c:scaling>
        <c:delete val="1"/>
        <c:axPos val="b"/>
        <c:majorTickMark val="none"/>
        <c:minorTickMark val="none"/>
        <c:tickLblPos val="nextTo"/>
        <c:crossAx val="10"/>
        <c:crosses val="autoZero"/>
      </c:serAx>
    </c:plotArea>
    <c:plotVisOnly val="0"/>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PhD vs Postdoc</a:t>
            </a:r>
          </a:p>
        </c:rich>
      </c:tx>
      <c:overlay val="1"/>
    </c:title>
    <c:autoTitleDeleted val="0"/>
    <c:view3D>
      <c:rotX val="15"/>
      <c:rotY val="0"/>
      <c:rAngAx val="0"/>
    </c:view3D>
    <c:floor>
      <c:thickness val="0"/>
    </c:floor>
    <c:sideWall>
      <c:thickness val="0"/>
    </c:sideWall>
    <c:backWall>
      <c:thickness val="0"/>
    </c:backWall>
    <c:plotArea>
      <c:layout/>
      <c:pie3DChart>
        <c:varyColors val="1"/>
        <c:ser>
          <c:idx val="0"/>
          <c:order val="0"/>
          <c:tx>
            <c:strRef>
              <c:f>Dashboard!$Q$27</c:f>
              <c:strCache>
                <c:ptCount val="1"/>
                <c:pt idx="0">
                  <c:v>Count</c:v>
                </c:pt>
              </c:strCache>
            </c:strRef>
          </c:tx>
          <c:spPr>
            <a:ln>
              <a:prstDash val="solid"/>
            </a:ln>
          </c:spPr>
          <c:dPt>
            <c:idx val="0"/>
            <c:bubble3D val="0"/>
            <c:spPr>
              <a:solidFill>
                <a:srgbClr val="16305C"/>
              </a:solidFill>
              <a:ln>
                <a:solidFill>
                  <a:srgbClr val="FFFFFF"/>
                </a:solidFill>
                <a:prstDash val="solid"/>
              </a:ln>
            </c:spPr>
            <c:extLst>
              <c:ext xmlns:c16="http://schemas.microsoft.com/office/drawing/2014/chart" uri="{C3380CC4-5D6E-409C-BE32-E72D297353CC}">
                <c16:uniqueId val="{00000001-810A-4F99-A241-F011C0A8A81E}"/>
              </c:ext>
            </c:extLst>
          </c:dPt>
          <c:dPt>
            <c:idx val="1"/>
            <c:bubble3D val="0"/>
            <c:spPr>
              <a:solidFill>
                <a:srgbClr val="D98C00"/>
              </a:solidFill>
              <a:ln>
                <a:solidFill>
                  <a:srgbClr val="FFFFFF"/>
                </a:solidFill>
                <a:prstDash val="solid"/>
              </a:ln>
            </c:spPr>
            <c:extLst>
              <c:ext xmlns:c16="http://schemas.microsoft.com/office/drawing/2014/chart" uri="{C3380CC4-5D6E-409C-BE32-E72D297353CC}">
                <c16:uniqueId val="{00000003-810A-4F99-A241-F011C0A8A81E}"/>
              </c:ext>
            </c:extLst>
          </c:dPt>
          <c:dLbls>
            <c:spPr>
              <a:noFill/>
              <a:ln>
                <a:noFill/>
              </a:ln>
              <a:effectLst/>
            </c:spPr>
            <c:showLegendKey val="0"/>
            <c:showVal val="1"/>
            <c:showCatName val="0"/>
            <c:showSerName val="0"/>
            <c:showPercent val="1"/>
            <c:showBubbleSize val="1"/>
            <c:showLeaderLines val="1"/>
            <c:extLst>
              <c:ext xmlns:c15="http://schemas.microsoft.com/office/drawing/2012/chart" uri="{CE6537A1-D6FC-4f65-9D91-7224C49458BB}"/>
            </c:extLst>
          </c:dLbls>
          <c:cat>
            <c:strRef>
              <c:f>Dashboard!$P$28:$P$29</c:f>
              <c:strCache>
                <c:ptCount val="2"/>
                <c:pt idx="0">
                  <c:v>PhD</c:v>
                </c:pt>
                <c:pt idx="1">
                  <c:v>Postdoc</c:v>
                </c:pt>
              </c:strCache>
            </c:strRef>
          </c:cat>
          <c:val>
            <c:numRef>
              <c:f>Dashboard!$Q$28:$Q$29</c:f>
              <c:numCache>
                <c:formatCode>General</c:formatCode>
                <c:ptCount val="2"/>
                <c:pt idx="0">
                  <c:v>11</c:v>
                </c:pt>
                <c:pt idx="1">
                  <c:v>9</c:v>
                </c:pt>
              </c:numCache>
            </c:numRef>
          </c:val>
          <c:extLst>
            <c:ext xmlns:c16="http://schemas.microsoft.com/office/drawing/2014/chart" uri="{C3380CC4-5D6E-409C-BE32-E72D297353CC}">
              <c16:uniqueId val="{00000004-810A-4F99-A241-F011C0A8A81E}"/>
            </c:ext>
          </c:extLst>
        </c:ser>
        <c:dLbls>
          <c:showLegendKey val="0"/>
          <c:showVal val="1"/>
          <c:showCatName val="0"/>
          <c:showSerName val="0"/>
          <c:showPercent val="1"/>
          <c:showBubbleSize val="1"/>
          <c:showLeaderLines val="1"/>
        </c:dLbls>
      </c:pie3DChart>
    </c:plotArea>
    <c:legend>
      <c:legendPos val="r"/>
      <c:overlay val="1"/>
    </c:legend>
    <c:plotVisOnly val="0"/>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8</xdr:row>
      <xdr:rowOff>0</xdr:rowOff>
    </xdr:from>
    <xdr:ext cx="4464000" cy="306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8</xdr:row>
      <xdr:rowOff>0</xdr:rowOff>
    </xdr:from>
    <xdr:ext cx="3329940" cy="306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27</xdr:row>
      <xdr:rowOff>0</xdr:rowOff>
    </xdr:from>
    <xdr:ext cx="4464000" cy="288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0</xdr:colOff>
      <xdr:row>27</xdr:row>
      <xdr:rowOff>0</xdr:rowOff>
    </xdr:from>
    <xdr:ext cx="3384000" cy="2880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pplyabroadlab.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academictransfer.com/en/jobs/363590/phd-position-using-microfluidics-to-observe-and-manipulate-coacervate-droplets/" TargetMode="External"/><Relationship Id="rId13" Type="http://schemas.openxmlformats.org/officeDocument/2006/relationships/hyperlink" Target="https://efzu.fa.em2.oraclecloud.com/hcmUI/CandidateExperience/en/sites/CX_2001/job/8059/" TargetMode="External"/><Relationship Id="rId18" Type="http://schemas.openxmlformats.org/officeDocument/2006/relationships/hyperlink" Target="https://recruiting.fz-juelich.de/jobposting/feb0efc501ddc3d5ab9b2c01d600e59045c7cff90" TargetMode="External"/><Relationship Id="rId3" Type="http://schemas.openxmlformats.org/officeDocument/2006/relationships/hyperlink" Target="https://aau.varbi.com/en/what:job/jobID:972965/" TargetMode="External"/><Relationship Id="rId7" Type="http://schemas.openxmlformats.org/officeDocument/2006/relationships/hyperlink" Target="https://www.uni.lu/en/jobs/postdoc-in-machine-learning-and-surrogate-modelling/" TargetMode="External"/><Relationship Id="rId12" Type="http://schemas.openxmlformats.org/officeDocument/2006/relationships/hyperlink" Target="https://uu.varbi.com/en/what:job/jobID:972884/" TargetMode="External"/><Relationship Id="rId17" Type="http://schemas.openxmlformats.org/officeDocument/2006/relationships/hyperlink" Target="https://www.jobbnorge.no/en/available-jobs/job/306713/phd-candidate-in-childrens-media-in-english" TargetMode="External"/><Relationship Id="rId2" Type="http://schemas.openxmlformats.org/officeDocument/2006/relationships/hyperlink" Target="https://www.academictransfer.com/en/jobs/363691/msca-dn-phd-in-pharmacological-therapy-for-leukodystrophies-rome-it/" TargetMode="External"/><Relationship Id="rId16" Type="http://schemas.openxmlformats.org/officeDocument/2006/relationships/hyperlink" Target="https://www.chalmers.se/en/about-chalmers/work-with-us/vacancies/?rmpage=job&amp;rmjob=15046&amp;rmlang=UK" TargetMode="External"/><Relationship Id="rId20" Type="http://schemas.openxmlformats.org/officeDocument/2006/relationships/hyperlink" Target="https://jobs.helsinki.fi/job/Helsinki-Postdoctoral-Research-Fellows-in-Proteomics/1370111857/" TargetMode="External"/><Relationship Id="rId1" Type="http://schemas.openxmlformats.org/officeDocument/2006/relationships/hyperlink" Target="https://www.academictransfer.com/en/jobs/362788/post-doc-learning-interactions-in-collective-cell-migration/" TargetMode="External"/><Relationship Id="rId6" Type="http://schemas.openxmlformats.org/officeDocument/2006/relationships/hyperlink" Target="https://www.jobs.ethz.ch/job/en/JOPG_ethz_VLtNEC6HFLUrmk6007?mw_source=academicpositions" TargetMode="External"/><Relationship Id="rId11" Type="http://schemas.openxmlformats.org/officeDocument/2006/relationships/hyperlink" Target="https://www.academictransfer.com/en/jobs/364085/phd-in-the-integrated-circuit-group-on-transceivers-for-optical-communications/" TargetMode="External"/><Relationship Id="rId5" Type="http://schemas.openxmlformats.org/officeDocument/2006/relationships/hyperlink" Target="https://www.academictransfer.com/en/jobs/363826/phd-position-beyond-the-odds-unravelling-pathways-to-gambling-related-harm/" TargetMode="External"/><Relationship Id="rId15" Type="http://schemas.openxmlformats.org/officeDocument/2006/relationships/hyperlink" Target="https://university-of-sheffield.contactrh.com/jobs/11046/44464617" TargetMode="External"/><Relationship Id="rId10" Type="http://schemas.openxmlformats.org/officeDocument/2006/relationships/hyperlink" Target="https://uu.varbi.com/en/what:job/jobID:953285/" TargetMode="External"/><Relationship Id="rId19" Type="http://schemas.openxmlformats.org/officeDocument/2006/relationships/hyperlink" Target="https://www.ugent.be/en/work/scientific/doctoral-fellow-137" TargetMode="External"/><Relationship Id="rId4" Type="http://schemas.openxmlformats.org/officeDocument/2006/relationships/hyperlink" Target="https://www.academictransfer.com/en/jobs/363542/phd-candidate-within-a-multi-methods-project-on-negation-across-languages/" TargetMode="External"/><Relationship Id="rId9" Type="http://schemas.openxmlformats.org/officeDocument/2006/relationships/hyperlink" Target="https://www.welcometothejungle.com/fr/companies/institut-imagine/jobs/two-2-postdoctoral-positions-in-mitochondrial-cell-biology_paris" TargetMode="External"/><Relationship Id="rId14" Type="http://schemas.openxmlformats.org/officeDocument/2006/relationships/hyperlink" Target="https://www.uni.lu/en/jobs/postdoctoral-researcher-in-quantum-communication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pplyabroadlab.com/posi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3261E"/>
  </sheetPr>
  <dimension ref="A1:Q56"/>
  <sheetViews>
    <sheetView showGridLines="0" tabSelected="1" topLeftCell="A3" workbookViewId="0">
      <selection activeCell="R12" sqref="R12"/>
    </sheetView>
  </sheetViews>
  <sheetFormatPr defaultRowHeight="14.4" x14ac:dyDescent="0.3"/>
  <cols>
    <col min="1" max="1" width="4" customWidth="1"/>
    <col min="2" max="8" width="17" customWidth="1"/>
    <col min="9" max="9" width="9.109375" customWidth="1"/>
    <col min="10" max="10" width="30" customWidth="1"/>
    <col min="11" max="11" width="12" customWidth="1"/>
    <col min="12" max="14" width="3" customWidth="1"/>
    <col min="16" max="17" width="13" hidden="1" customWidth="1"/>
  </cols>
  <sheetData>
    <row r="1" spans="1:17" ht="42" customHeight="1" x14ac:dyDescent="0.3">
      <c r="A1" s="77" t="s">
        <v>0</v>
      </c>
      <c r="B1" s="69"/>
      <c r="C1" s="69"/>
      <c r="D1" s="69"/>
      <c r="E1" s="69"/>
      <c r="F1" s="69"/>
      <c r="G1" s="69"/>
      <c r="H1" s="69"/>
      <c r="I1" s="69"/>
      <c r="J1" s="69"/>
      <c r="K1" s="69"/>
      <c r="L1" s="69"/>
      <c r="M1" s="69"/>
      <c r="N1" s="69"/>
      <c r="P1" s="1" t="s">
        <v>1</v>
      </c>
    </row>
    <row r="2" spans="1:17" ht="19.95" customHeight="1" x14ac:dyDescent="0.3">
      <c r="A2" s="72" t="s">
        <v>2</v>
      </c>
      <c r="B2" s="69"/>
      <c r="C2" s="69"/>
      <c r="D2" s="69"/>
      <c r="E2" s="69"/>
      <c r="F2" s="69"/>
      <c r="G2" s="69"/>
      <c r="H2" s="69"/>
      <c r="I2" s="69"/>
      <c r="J2" s="69"/>
      <c r="K2" s="69"/>
      <c r="L2" s="69"/>
      <c r="M2" s="69"/>
      <c r="N2" s="69"/>
    </row>
    <row r="3" spans="1:17" x14ac:dyDescent="0.3">
      <c r="P3" s="1" t="s">
        <v>3</v>
      </c>
      <c r="Q3" s="1" t="s">
        <v>4</v>
      </c>
    </row>
    <row r="4" spans="1:17" x14ac:dyDescent="0.3">
      <c r="A4" s="2" t="s">
        <v>5</v>
      </c>
      <c r="J4" s="2" t="s">
        <v>6</v>
      </c>
      <c r="P4" s="1" t="s">
        <v>7</v>
      </c>
      <c r="Q4" s="1">
        <f>COUNTIF('Position Database'!$D$4:$D$200,$P4)</f>
        <v>6</v>
      </c>
    </row>
    <row r="5" spans="1:17" ht="22.05" customHeight="1" x14ac:dyDescent="0.3">
      <c r="B5" s="3" t="s">
        <v>8</v>
      </c>
      <c r="C5" s="4" t="s">
        <v>9</v>
      </c>
      <c r="D5" s="5" t="s">
        <v>10</v>
      </c>
      <c r="E5" s="6" t="s">
        <v>11</v>
      </c>
      <c r="F5" s="7" t="s">
        <v>12</v>
      </c>
      <c r="G5" s="8" t="s">
        <v>13</v>
      </c>
      <c r="H5" s="9" t="s">
        <v>14</v>
      </c>
      <c r="J5" s="70" t="s">
        <v>15</v>
      </c>
      <c r="K5" s="69"/>
      <c r="P5" s="1" t="s">
        <v>16</v>
      </c>
      <c r="Q5" s="1">
        <f>COUNTIF('Position Database'!$D$4:$D$200,$P5)</f>
        <v>3</v>
      </c>
    </row>
    <row r="6" spans="1:17" ht="22.05" customHeight="1" x14ac:dyDescent="0.3">
      <c r="B6" s="10">
        <f>COUNTA('Position Database'!$B$4:$B$200)</f>
        <v>20</v>
      </c>
      <c r="C6" s="11">
        <f>COUNTA('Communication Tracker'!$E$4:$E$200)</f>
        <v>20</v>
      </c>
      <c r="D6" s="12">
        <f>COUNTA('Response Management'!$D$4:$D$119)</f>
        <v>10</v>
      </c>
      <c r="E6" s="13">
        <f>IFERROR(COUNTA('Response Management'!$D$4:$D$119)/COUNTA('Communication Tracker'!$E$4:$E$200),0)</f>
        <v>0.5</v>
      </c>
      <c r="F6" s="14">
        <f ca="1">COUNTIF('Communication Tracker'!$M$4:$M$200,"&gt;14")</f>
        <v>8</v>
      </c>
      <c r="G6" s="15">
        <f>COUNTIF('Response Management'!$E$4:$E$119,"Interview Invitation")</f>
        <v>2</v>
      </c>
      <c r="H6" s="16">
        <f>COUNTIF('Response Management'!$E$4:$E$119,"Accepted")</f>
        <v>1</v>
      </c>
      <c r="J6" s="71" t="s">
        <v>17</v>
      </c>
      <c r="K6" s="69"/>
      <c r="P6" s="1" t="s">
        <v>18</v>
      </c>
      <c r="Q6" s="1">
        <f>COUNTIF('Position Database'!$D$4:$D$200,$P6)</f>
        <v>2</v>
      </c>
    </row>
    <row r="7" spans="1:17" ht="22.05" customHeight="1" x14ac:dyDescent="0.3">
      <c r="J7" s="73" t="s">
        <v>19</v>
      </c>
      <c r="K7" s="69"/>
      <c r="P7" s="1" t="s">
        <v>20</v>
      </c>
      <c r="Q7" s="1">
        <f>COUNTIF('Position Database'!$D$4:$D$200,$P7)</f>
        <v>2</v>
      </c>
    </row>
    <row r="8" spans="1:17" ht="22.05" customHeight="1" x14ac:dyDescent="0.3">
      <c r="B8" s="17" t="s">
        <v>21</v>
      </c>
      <c r="F8" s="17" t="s">
        <v>22</v>
      </c>
      <c r="J8" s="75" t="s">
        <v>23</v>
      </c>
      <c r="K8" s="69"/>
      <c r="P8" s="1" t="s">
        <v>24</v>
      </c>
      <c r="Q8" s="1">
        <f>COUNTIF('Position Database'!$D$4:$D$200,$P8)</f>
        <v>1</v>
      </c>
    </row>
    <row r="9" spans="1:17" ht="22.05" customHeight="1" x14ac:dyDescent="0.3">
      <c r="J9" s="76" t="s">
        <v>25</v>
      </c>
      <c r="K9" s="69"/>
      <c r="P9" s="1" t="s">
        <v>26</v>
      </c>
      <c r="Q9" s="1">
        <f>COUNTIF('Position Database'!$D$4:$D$200,$P9)</f>
        <v>1</v>
      </c>
    </row>
    <row r="10" spans="1:17" ht="22.05" customHeight="1" x14ac:dyDescent="0.3">
      <c r="J10" s="74" t="s">
        <v>27</v>
      </c>
      <c r="K10" s="69"/>
      <c r="P10" s="1" t="s">
        <v>28</v>
      </c>
      <c r="Q10" s="1">
        <f>COUNTIF('Position Database'!$D$4:$D$200,$P10)</f>
        <v>1</v>
      </c>
    </row>
    <row r="11" spans="1:17" x14ac:dyDescent="0.3">
      <c r="P11" s="1" t="s">
        <v>29</v>
      </c>
      <c r="Q11" s="1">
        <f>COUNTIF('Position Database'!$D$4:$D$200,$P11)</f>
        <v>1</v>
      </c>
    </row>
    <row r="12" spans="1:17" x14ac:dyDescent="0.3">
      <c r="P12" s="1" t="s">
        <v>30</v>
      </c>
      <c r="Q12" s="1">
        <f>COUNTIF('Position Database'!$D$4:$D$200,$P12)</f>
        <v>1</v>
      </c>
    </row>
    <row r="13" spans="1:17" x14ac:dyDescent="0.3">
      <c r="J13" s="18" t="s">
        <v>31</v>
      </c>
      <c r="P13" s="1" t="s">
        <v>32</v>
      </c>
      <c r="Q13" s="1">
        <f>COUNTIF('Position Database'!$D$4:$D$200,$P13)</f>
        <v>1</v>
      </c>
    </row>
    <row r="14" spans="1:17" x14ac:dyDescent="0.3">
      <c r="J14" s="19" t="s">
        <v>33</v>
      </c>
      <c r="K14" s="19" t="s">
        <v>34</v>
      </c>
      <c r="P14" s="1" t="s">
        <v>35</v>
      </c>
      <c r="Q14" s="1">
        <f>COUNTIF('Position Database'!$D$4:$D$200,$P14)</f>
        <v>1</v>
      </c>
    </row>
    <row r="15" spans="1:17" ht="30" customHeight="1" x14ac:dyDescent="0.3">
      <c r="J15" s="20" t="str">
        <f ca="1">IFERROR(HYPERLINK("#'Position Database'!A"&amp;(MATCH(1,'Position Database'!$Q$4:$Q$200,0)+3),INDEX('Position Database'!$C$4:$C$200,MATCH(1,'Position Database'!$Q$4:$Q$200,0))&amp;"  |  "&amp;INDEX('Position Database'!$B$4:$B$200,MATCH(1,'Position Database'!$Q$4:$Q$200,0))),"")</f>
        <v>Vrije Universiteit Amsterdam  |  Post Doc: Learning Interactions in Collective Cell Migration</v>
      </c>
      <c r="K15" s="21">
        <f ca="1">IFERROR(INDEX('Position Database'!$J$4:$J$200,MATCH(1,'Position Database'!$Q$4:$Q$200,0)),"")</f>
        <v>2</v>
      </c>
    </row>
    <row r="16" spans="1:17" ht="30" customHeight="1" x14ac:dyDescent="0.3">
      <c r="J16" s="20" t="str">
        <f ca="1">IFERROR(HYPERLINK("#'Position Database'!A"&amp;(MATCH(2,'Position Database'!$Q$4:$Q$200,0)+3),INDEX('Position Database'!$C$4:$C$200,MATCH(2,'Position Database'!$Q$4:$Q$200,0))&amp;"  |  "&amp;INDEX('Position Database'!$B$4:$B$200,MATCH(2,'Position Database'!$Q$4:$Q$200,0))),"")</f>
        <v>Radboud University  |  PhD Position: Beyond the Odds - Pathways to Gambling-Related Harm</v>
      </c>
      <c r="K16" s="21">
        <f ca="1">IFERROR(INDEX('Position Database'!$J$4:$J$200,MATCH(2,'Position Database'!$Q$4:$Q$200,0)),"")</f>
        <v>2</v>
      </c>
    </row>
    <row r="17" spans="2:17" ht="30" customHeight="1" x14ac:dyDescent="0.3">
      <c r="J17" s="20" t="str">
        <f ca="1">IFERROR(HYPERLINK("#'Position Database'!A"&amp;(MATCH(3,'Position Database'!$Q$4:$Q$200,0)+3),INDEX('Position Database'!$C$4:$C$200,MATCH(3,'Position Database'!$Q$4:$Q$200,0))&amp;"  |  "&amp;INDEX('Position Database'!$B$4:$B$200,MATCH(3,'Position Database'!$Q$4:$Q$200,0))),"")</f>
        <v>NTNU  |  PhD Candidate in Children's Media in English (CLEAR Group)</v>
      </c>
      <c r="K17" s="21">
        <f ca="1">IFERROR(INDEX('Position Database'!$J$4:$J$200,MATCH(3,'Position Database'!$Q$4:$Q$200,0)),"")</f>
        <v>2</v>
      </c>
      <c r="P17" s="1" t="s">
        <v>36</v>
      </c>
      <c r="Q17" s="1" t="s">
        <v>4</v>
      </c>
    </row>
    <row r="18" spans="2:17" ht="30" customHeight="1" x14ac:dyDescent="0.3">
      <c r="J18" s="20" t="str">
        <f ca="1">IFERROR(HYPERLINK("#'Position Database'!A"&amp;(MATCH(4,'Position Database'!$Q$4:$Q$200,0)+3),INDEX('Position Database'!$C$4:$C$200,MATCH(4,'Position Database'!$Q$4:$Q$200,0))&amp;"  |  "&amp;INDEX('Position Database'!$B$4:$B$200,MATCH(4,'Position Database'!$Q$4:$Q$200,0))),"")</f>
        <v>University of Helsinki  |  Postdoctoral Fellows in Proteomics: Neurodevelopment and Cancer</v>
      </c>
      <c r="K18" s="21">
        <f ca="1">IFERROR(INDEX('Position Database'!$J$4:$J$200,MATCH(4,'Position Database'!$Q$4:$Q$200,0)),"")</f>
        <v>2</v>
      </c>
      <c r="P18" s="1" t="s">
        <v>37</v>
      </c>
      <c r="Q18" s="1">
        <f>COUNTIF('Communication Tracker'!$O$4:$O$200,$P18)</f>
        <v>5</v>
      </c>
    </row>
    <row r="19" spans="2:17" ht="30" customHeight="1" x14ac:dyDescent="0.3">
      <c r="J19" s="20" t="str">
        <f ca="1">IFERROR(HYPERLINK("#'Position Database'!A"&amp;(MATCH(5,'Position Database'!$Q$4:$Q$200,0)+3),INDEX('Position Database'!$C$4:$C$200,MATCH(5,'Position Database'!$Q$4:$Q$200,0))&amp;"  |  "&amp;INDEX('Position Database'!$B$4:$B$200,MATCH(5,'Position Database'!$Q$4:$Q$200,0))),"")</f>
        <v>Uppsala University  |  Doctoral Student in Environmental Law Specialising in Nuclear Power</v>
      </c>
      <c r="K19" s="21">
        <f ca="1">IFERROR(INDEX('Position Database'!$J$4:$J$200,MATCH(5,'Position Database'!$Q$4:$Q$200,0)),"")</f>
        <v>3</v>
      </c>
      <c r="P19" s="1" t="s">
        <v>38</v>
      </c>
      <c r="Q19" s="1">
        <f>COUNTIF('Communication Tracker'!$O$4:$O$200,$P19)</f>
        <v>5</v>
      </c>
    </row>
    <row r="20" spans="2:17" ht="30" customHeight="1" x14ac:dyDescent="0.3">
      <c r="J20" s="20" t="str">
        <f ca="1">IFERROR(HYPERLINK("#'Position Database'!A"&amp;(MATCH(6,'Position Database'!$Q$4:$Q$200,0)+3),INDEX('Position Database'!$C$4:$C$200,MATCH(6,'Position Database'!$Q$4:$Q$200,0))&amp;"  |  "&amp;INDEX('Position Database'!$B$4:$B$200,MATCH(6,'Position Database'!$Q$4:$Q$200,0))),"")</f>
        <v>Institut Imagine  |  Two Postdoctoral Positions in Mitochondrial Cell Biology</v>
      </c>
      <c r="K20" s="21">
        <f ca="1">IFERROR(INDEX('Position Database'!$J$4:$J$200,MATCH(6,'Position Database'!$Q$4:$Q$200,0)),"")</f>
        <v>4</v>
      </c>
      <c r="P20" s="1" t="s">
        <v>39</v>
      </c>
      <c r="Q20" s="1">
        <f>COUNTIF('Communication Tracker'!$O$4:$O$200,$P20)</f>
        <v>2</v>
      </c>
    </row>
    <row r="21" spans="2:17" ht="30" customHeight="1" x14ac:dyDescent="0.3">
      <c r="J21" s="20" t="str">
        <f ca="1">IFERROR(HYPERLINK("#'Position Database'!A"&amp;(MATCH(7,'Position Database'!$Q$4:$Q$200,0)+3),INDEX('Position Database'!$C$4:$C$200,MATCH(7,'Position Database'!$Q$4:$Q$200,0))&amp;"  |  "&amp;INDEX('Position Database'!$B$4:$B$200,MATCH(7,'Position Database'!$Q$4:$Q$200,0))),"")</f>
        <v>Amsterdam UMC  |  MSCA-DN PhD in Pharmacological Therapy for Leukodystrophies</v>
      </c>
      <c r="K21" s="21">
        <f ca="1">IFERROR(INDEX('Position Database'!$J$4:$J$200,MATCH(7,'Position Database'!$Q$4:$Q$200,0)),"")</f>
        <v>7</v>
      </c>
      <c r="P21" s="1" t="s">
        <v>40</v>
      </c>
      <c r="Q21" s="1">
        <f>COUNTIF('Communication Tracker'!$O$4:$O$200,$P21)</f>
        <v>3</v>
      </c>
    </row>
    <row r="22" spans="2:17" ht="30" customHeight="1" x14ac:dyDescent="0.3">
      <c r="J22" s="20" t="str">
        <f ca="1">IFERROR(HYPERLINK("#'Position Database'!A"&amp;(MATCH(8,'Position Database'!$Q$4:$Q$200,0)+3),INDEX('Position Database'!$C$4:$C$200,MATCH(8,'Position Database'!$Q$4:$Q$200,0))&amp;"  |  "&amp;INDEX('Position Database'!$B$4:$B$200,MATCH(8,'Position Database'!$Q$4:$Q$200,0))),"")</f>
        <v>Technical University of Denmark  |  Postdoc: Multiphysics Modelling of Laser-Regolith Interaction (Moon)</v>
      </c>
      <c r="K22" s="21">
        <f ca="1">IFERROR(INDEX('Position Database'!$J$4:$J$200,MATCH(8,'Position Database'!$Q$4:$Q$200,0)),"")</f>
        <v>8</v>
      </c>
      <c r="P22" s="1" t="s">
        <v>41</v>
      </c>
      <c r="Q22" s="1">
        <f>COUNTIF('Communication Tracker'!$O$4:$O$200,$P22)</f>
        <v>2</v>
      </c>
    </row>
    <row r="23" spans="2:17" x14ac:dyDescent="0.3">
      <c r="P23" s="1" t="s">
        <v>42</v>
      </c>
      <c r="Q23" s="1">
        <f>COUNTIF('Communication Tracker'!$O$4:$O$200,$P23)</f>
        <v>2</v>
      </c>
    </row>
    <row r="24" spans="2:17" x14ac:dyDescent="0.3">
      <c r="P24" s="1" t="s">
        <v>43</v>
      </c>
      <c r="Q24" s="1">
        <f>COUNTIF('Communication Tracker'!$O$4:$O$200,$P24)</f>
        <v>1</v>
      </c>
    </row>
    <row r="27" spans="2:17" x14ac:dyDescent="0.3">
      <c r="B27" s="17" t="s">
        <v>44</v>
      </c>
      <c r="F27" s="17" t="s">
        <v>45</v>
      </c>
      <c r="P27" s="1" t="s">
        <v>46</v>
      </c>
      <c r="Q27" s="1" t="s">
        <v>4</v>
      </c>
    </row>
    <row r="28" spans="2:17" x14ac:dyDescent="0.3">
      <c r="P28" s="1" t="s">
        <v>47</v>
      </c>
      <c r="Q28" s="1">
        <f>COUNTIF('Position Database'!$F$4:$F$200,$P28)</f>
        <v>11</v>
      </c>
    </row>
    <row r="29" spans="2:17" x14ac:dyDescent="0.3">
      <c r="P29" s="1" t="s">
        <v>48</v>
      </c>
      <c r="Q29" s="1">
        <f>COUNTIF('Position Database'!$F$4:$F$200,$P29)</f>
        <v>9</v>
      </c>
    </row>
    <row r="32" spans="2:17" x14ac:dyDescent="0.3">
      <c r="P32" s="1" t="s">
        <v>49</v>
      </c>
      <c r="Q32" s="1" t="s">
        <v>4</v>
      </c>
    </row>
    <row r="33" spans="1:17" x14ac:dyDescent="0.3">
      <c r="P33" s="1" t="s">
        <v>50</v>
      </c>
      <c r="Q33" s="1">
        <f>COUNTA('Communication Tracker'!$E$4:$E$200)</f>
        <v>20</v>
      </c>
    </row>
    <row r="34" spans="1:17" x14ac:dyDescent="0.3">
      <c r="P34" s="1" t="s">
        <v>51</v>
      </c>
      <c r="Q34" s="1">
        <f>COUNTA('Response Management'!$D$4:$D$119)</f>
        <v>10</v>
      </c>
    </row>
    <row r="35" spans="1:17" x14ac:dyDescent="0.3">
      <c r="P35" s="1" t="s">
        <v>52</v>
      </c>
      <c r="Q35" s="1">
        <f>COUNTIF('Response Management'!$E$4:$E$119,"Interview Invitation")</f>
        <v>2</v>
      </c>
    </row>
    <row r="36" spans="1:17" x14ac:dyDescent="0.3">
      <c r="P36" s="1" t="s">
        <v>53</v>
      </c>
      <c r="Q36" s="1">
        <f>COUNTIF('Response Management'!$E$4:$E$119,"Accepted")</f>
        <v>1</v>
      </c>
    </row>
    <row r="46" spans="1:17" x14ac:dyDescent="0.3">
      <c r="A46" s="22" t="s">
        <v>54</v>
      </c>
    </row>
    <row r="47" spans="1:17" ht="25.95" customHeight="1" x14ac:dyDescent="0.3">
      <c r="A47" s="23" t="s">
        <v>55</v>
      </c>
      <c r="B47" s="23" t="s">
        <v>56</v>
      </c>
      <c r="C47" s="23" t="s">
        <v>57</v>
      </c>
      <c r="D47" s="23" t="s">
        <v>3</v>
      </c>
      <c r="E47" s="23" t="s">
        <v>58</v>
      </c>
      <c r="F47" s="23" t="s">
        <v>36</v>
      </c>
      <c r="G47" s="23" t="s">
        <v>59</v>
      </c>
    </row>
    <row r="48" spans="1:17" ht="22.05" customHeight="1" x14ac:dyDescent="0.3">
      <c r="A48" s="24">
        <v>1</v>
      </c>
      <c r="B48" s="25" t="str">
        <f ca="1">IFERROR(HYPERLINK("#'Communication Tracker'!A"&amp;(MATCH(1,'Communication Tracker'!$Q$4:$Q$200,0)+3),INDEX('Communication Tracker'!$B$4:$B$200,MATCH(1,'Communication Tracker'!$Q$4:$Q$200,0))),"")</f>
        <v>MSCA-DN PhD in Pharmacological Therapy for Leukodystrophies</v>
      </c>
      <c r="C48" s="26" t="str">
        <f ca="1">IFERROR(INDEX('Communication Tracker'!$C$4:$C$200,MATCH(1,'Communication Tracker'!$Q$4:$Q$200,0)),"")</f>
        <v>Amsterdam UMC</v>
      </c>
      <c r="D48" s="27" t="str">
        <f ca="1">IFERROR(INDEX('Communication Tracker'!$D$4:$D$200,MATCH(1,'Communication Tracker'!$Q$4:$Q$200,0)),"")</f>
        <v>Netherlands</v>
      </c>
      <c r="E48" s="28">
        <f ca="1">IFERROR(INDEX('Communication Tracker'!$M$4:$M$200,MATCH(1,'Communication Tracker'!$Q$4:$Q$200,0)),"")</f>
        <v>35</v>
      </c>
      <c r="F48" s="27" t="str">
        <f ca="1">IFERROR(INDEX('Communication Tracker'!$O$4:$O$200,MATCH(1,'Communication Tracker'!$Q$4:$Q$200,0)),"")</f>
        <v>No Reply</v>
      </c>
      <c r="G48" s="29">
        <f ca="1">IFERROR(INDEX('Communication Tracker'!$N$4:$N$200,MATCH(1,'Communication Tracker'!$Q$4:$Q$200,0)),"")</f>
        <v>46272</v>
      </c>
    </row>
    <row r="49" spans="1:8" ht="22.05" customHeight="1" x14ac:dyDescent="0.3">
      <c r="A49" s="24">
        <v>2</v>
      </c>
      <c r="B49" s="25" t="str">
        <f ca="1">IFERROR(HYPERLINK("#'Communication Tracker'!A"&amp;(MATCH(2,'Communication Tracker'!$Q$4:$Q$200,0)+3),INDEX('Communication Tracker'!$B$4:$B$200,MATCH(2,'Communication Tracker'!$Q$4:$Q$200,0))),"")</f>
        <v>PhD Candidate: Multi-Methods Project on Negation Across Languages</v>
      </c>
      <c r="C49" s="26" t="str">
        <f ca="1">IFERROR(INDEX('Communication Tracker'!$C$4:$C$200,MATCH(2,'Communication Tracker'!$Q$4:$Q$200,0)),"")</f>
        <v>University of Amsterdam</v>
      </c>
      <c r="D49" s="27" t="str">
        <f ca="1">IFERROR(INDEX('Communication Tracker'!$D$4:$D$200,MATCH(2,'Communication Tracker'!$Q$4:$Q$200,0)),"")</f>
        <v>Netherlands</v>
      </c>
      <c r="E49" s="28">
        <f ca="1">IFERROR(INDEX('Communication Tracker'!$M$4:$M$200,MATCH(2,'Communication Tracker'!$Q$4:$Q$200,0)),"")</f>
        <v>33</v>
      </c>
      <c r="F49" s="27" t="str">
        <f ca="1">IFERROR(INDEX('Communication Tracker'!$O$4:$O$200,MATCH(2,'Communication Tracker'!$Q$4:$Q$200,0)),"")</f>
        <v>Neutral Reply</v>
      </c>
      <c r="G49" s="29">
        <f ca="1">IFERROR(INDEX('Communication Tracker'!$N$4:$N$200,MATCH(2,'Communication Tracker'!$Q$4:$Q$200,0)),"")</f>
        <v>46274</v>
      </c>
    </row>
    <row r="50" spans="1:8" ht="22.05" customHeight="1" x14ac:dyDescent="0.3">
      <c r="A50" s="24">
        <v>3</v>
      </c>
      <c r="B50" s="25" t="str">
        <f ca="1">IFERROR(HYPERLINK("#'Communication Tracker'!A"&amp;(MATCH(3,'Communication Tracker'!$Q$4:$Q$200,0)+3),INDEX('Communication Tracker'!$B$4:$B$200,MATCH(3,'Communication Tracker'!$Q$4:$Q$200,0))),"")</f>
        <v>Postdoctoral Fellows in Proteomics: Neurodevelopment and Cancer</v>
      </c>
      <c r="C50" s="26" t="str">
        <f ca="1">IFERROR(INDEX('Communication Tracker'!$C$4:$C$200,MATCH(3,'Communication Tracker'!$Q$4:$Q$200,0)),"")</f>
        <v>University of Helsinki</v>
      </c>
      <c r="D50" s="27" t="str">
        <f ca="1">IFERROR(INDEX('Communication Tracker'!$D$4:$D$200,MATCH(3,'Communication Tracker'!$Q$4:$Q$200,0)),"")</f>
        <v>Finland</v>
      </c>
      <c r="E50" s="28">
        <f ca="1">IFERROR(INDEX('Communication Tracker'!$M$4:$M$200,MATCH(3,'Communication Tracker'!$Q$4:$Q$200,0)),"")</f>
        <v>27</v>
      </c>
      <c r="F50" s="27" t="str">
        <f ca="1">IFERROR(INDEX('Communication Tracker'!$O$4:$O$200,MATCH(3,'Communication Tracker'!$Q$4:$Q$200,0)),"")</f>
        <v>Neutral Reply</v>
      </c>
      <c r="G50" s="29">
        <f ca="1">IFERROR(INDEX('Communication Tracker'!$N$4:$N$200,MATCH(3,'Communication Tracker'!$Q$4:$Q$200,0)),"")</f>
        <v>46280</v>
      </c>
    </row>
    <row r="51" spans="1:8" ht="22.05" customHeight="1" x14ac:dyDescent="0.3">
      <c r="A51" s="24">
        <v>4</v>
      </c>
      <c r="B51" s="25" t="str">
        <f ca="1">IFERROR(HYPERLINK("#'Communication Tracker'!A"&amp;(MATCH(4,'Communication Tracker'!$Q$4:$Q$200,0)+3),INDEX('Communication Tracker'!$B$4:$B$200,MATCH(4,'Communication Tracker'!$Q$4:$Q$200,0))),"")</f>
        <v>PhD: Microfluidics to Observe and Manipulate Coacervate Droplets</v>
      </c>
      <c r="C51" s="26" t="str">
        <f ca="1">IFERROR(INDEX('Communication Tracker'!$C$4:$C$200,MATCH(4,'Communication Tracker'!$Q$4:$Q$200,0)),"")</f>
        <v>University of Groningen</v>
      </c>
      <c r="D51" s="27" t="str">
        <f ca="1">IFERROR(INDEX('Communication Tracker'!$D$4:$D$200,MATCH(4,'Communication Tracker'!$Q$4:$Q$200,0)),"")</f>
        <v>Netherlands</v>
      </c>
      <c r="E51" s="28">
        <f ca="1">IFERROR(INDEX('Communication Tracker'!$M$4:$M$200,MATCH(4,'Communication Tracker'!$Q$4:$Q$200,0)),"")</f>
        <v>25</v>
      </c>
      <c r="F51" s="27" t="str">
        <f ca="1">IFERROR(INDEX('Communication Tracker'!$O$4:$O$200,MATCH(4,'Communication Tracker'!$Q$4:$Q$200,0)),"")</f>
        <v>No Reply</v>
      </c>
      <c r="G51" s="29">
        <f ca="1">IFERROR(INDEX('Communication Tracker'!$N$4:$N$200,MATCH(4,'Communication Tracker'!$Q$4:$Q$200,0)),"")</f>
        <v>46282</v>
      </c>
    </row>
    <row r="52" spans="1:8" ht="22.05" customHeight="1" x14ac:dyDescent="0.3">
      <c r="A52" s="24">
        <v>5</v>
      </c>
      <c r="B52" s="25" t="str">
        <f ca="1">IFERROR(HYPERLINK("#'Communication Tracker'!A"&amp;(MATCH(5,'Communication Tracker'!$Q$4:$Q$200,0)+3),INDEX('Communication Tracker'!$B$4:$B$200,MATCH(5,'Communication Tracker'!$Q$4:$Q$200,0))),"")</f>
        <v>Postdoc in Synthesis and Crystal Growth of Molecular Conductors</v>
      </c>
      <c r="C52" s="26" t="str">
        <f ca="1">IFERROR(INDEX('Communication Tracker'!$C$4:$C$200,MATCH(5,'Communication Tracker'!$Q$4:$Q$200,0)),"")</f>
        <v>Chalmers University of Technology</v>
      </c>
      <c r="D52" s="27" t="str">
        <f ca="1">IFERROR(INDEX('Communication Tracker'!$D$4:$D$200,MATCH(5,'Communication Tracker'!$Q$4:$Q$200,0)),"")</f>
        <v>Sweden</v>
      </c>
      <c r="E52" s="28">
        <f ca="1">IFERROR(INDEX('Communication Tracker'!$M$4:$M$200,MATCH(5,'Communication Tracker'!$Q$4:$Q$200,0)),"")</f>
        <v>18</v>
      </c>
      <c r="F52" s="27" t="str">
        <f ca="1">IFERROR(INDEX('Communication Tracker'!$O$4:$O$200,MATCH(5,'Communication Tracker'!$Q$4:$Q$200,0)),"")</f>
        <v>Interview Invitation</v>
      </c>
      <c r="G52" s="29">
        <f ca="1">IFERROR(INDEX('Communication Tracker'!$N$4:$N$200,MATCH(5,'Communication Tracker'!$Q$4:$Q$200,0)),"")</f>
        <v>46289</v>
      </c>
    </row>
    <row r="53" spans="1:8" ht="22.05" customHeight="1" x14ac:dyDescent="0.3">
      <c r="A53" s="24">
        <v>6</v>
      </c>
      <c r="B53" s="25" t="str">
        <f ca="1">IFERROR(HYPERLINK("#'Communication Tracker'!A"&amp;(MATCH(6,'Communication Tracker'!$Q$4:$Q$200,0)+3),INDEX('Communication Tracker'!$B$4:$B$200,MATCH(6,'Communication Tracker'!$Q$4:$Q$200,0))),"")</f>
        <v>Research Associate in Steel Structures and Sustainable Design</v>
      </c>
      <c r="C53" s="26" t="str">
        <f ca="1">IFERROR(INDEX('Communication Tracker'!$C$4:$C$200,MATCH(6,'Communication Tracker'!$Q$4:$Q$200,0)),"")</f>
        <v>University of Sheffield</v>
      </c>
      <c r="D53" s="27" t="str">
        <f ca="1">IFERROR(INDEX('Communication Tracker'!$D$4:$D$200,MATCH(6,'Communication Tracker'!$Q$4:$Q$200,0)),"")</f>
        <v>United Kingdom</v>
      </c>
      <c r="E53" s="28">
        <f ca="1">IFERROR(INDEX('Communication Tracker'!$M$4:$M$200,MATCH(6,'Communication Tracker'!$Q$4:$Q$200,0)),"")</f>
        <v>16</v>
      </c>
      <c r="F53" s="27" t="str">
        <f ca="1">IFERROR(INDEX('Communication Tracker'!$O$4:$O$200,MATCH(6,'Communication Tracker'!$Q$4:$Q$200,0)),"")</f>
        <v>No Reply</v>
      </c>
      <c r="G53" s="29">
        <f ca="1">IFERROR(INDEX('Communication Tracker'!$N$4:$N$200,MATCH(6,'Communication Tracker'!$Q$4:$Q$200,0)),"")</f>
        <v>46291</v>
      </c>
    </row>
    <row r="54" spans="1:8" ht="22.05" customHeight="1" x14ac:dyDescent="0.3">
      <c r="A54" s="24">
        <v>7</v>
      </c>
      <c r="B54" s="25" t="str">
        <f ca="1">IFERROR(HYPERLINK("#'Communication Tracker'!A"&amp;(MATCH(7,'Communication Tracker'!$Q$4:$Q$200,0)+3),INDEX('Communication Tracker'!$B$4:$B$200,MATCH(7,'Communication Tracker'!$Q$4:$Q$200,0))),"")</f>
        <v>Doctoral Fellow: Lunar Resource Production (LuMoCX / ERC)</v>
      </c>
      <c r="C54" s="26" t="str">
        <f ca="1">IFERROR(INDEX('Communication Tracker'!$C$4:$C$200,MATCH(7,'Communication Tracker'!$Q$4:$Q$200,0)),"")</f>
        <v>Ghent University</v>
      </c>
      <c r="D54" s="27" t="str">
        <f ca="1">IFERROR(INDEX('Communication Tracker'!$D$4:$D$200,MATCH(7,'Communication Tracker'!$Q$4:$Q$200,0)),"")</f>
        <v>Belgium</v>
      </c>
      <c r="E54" s="28">
        <f ca="1">IFERROR(INDEX('Communication Tracker'!$M$4:$M$200,MATCH(7,'Communication Tracker'!$Q$4:$Q$200,0)),"")</f>
        <v>16</v>
      </c>
      <c r="F54" s="27" t="str">
        <f ca="1">IFERROR(INDEX('Communication Tracker'!$O$4:$O$200,MATCH(7,'Communication Tracker'!$Q$4:$Q$200,0)),"")</f>
        <v>No Reply</v>
      </c>
      <c r="G54" s="29">
        <f ca="1">IFERROR(INDEX('Communication Tracker'!$N$4:$N$200,MATCH(7,'Communication Tracker'!$Q$4:$Q$200,0)),"")</f>
        <v>46291</v>
      </c>
    </row>
    <row r="55" spans="1:8" ht="22.05" customHeight="1" x14ac:dyDescent="0.3">
      <c r="A55" s="24">
        <v>8</v>
      </c>
      <c r="B55" s="25" t="str">
        <f ca="1">IFERROR(HYPERLINK("#'Communication Tracker'!A"&amp;(MATCH(8,'Communication Tracker'!$Q$4:$Q$200,0)+3),INDEX('Communication Tracker'!$B$4:$B$200,MATCH(8,'Communication Tracker'!$Q$4:$Q$200,0))),"")</f>
        <v>Postdoc: Multiphysics Modelling of Laser-Regolith Interaction (Moon)</v>
      </c>
      <c r="C55" s="26" t="str">
        <f ca="1">IFERROR(INDEX('Communication Tracker'!$C$4:$C$200,MATCH(8,'Communication Tracker'!$Q$4:$Q$200,0)),"")</f>
        <v>Technical University of Denmark</v>
      </c>
      <c r="D55" s="27" t="str">
        <f ca="1">IFERROR(INDEX('Communication Tracker'!$D$4:$D$200,MATCH(8,'Communication Tracker'!$Q$4:$Q$200,0)),"")</f>
        <v>Denmark</v>
      </c>
      <c r="E55" s="28">
        <f ca="1">IFERROR(INDEX('Communication Tracker'!$M$4:$M$200,MATCH(8,'Communication Tracker'!$Q$4:$Q$200,0)),"")</f>
        <v>15</v>
      </c>
      <c r="F55" s="27" t="str">
        <f ca="1">IFERROR(INDEX('Communication Tracker'!$O$4:$O$200,MATCH(8,'Communication Tracker'!$Q$4:$Q$200,0)),"")</f>
        <v>Neutral Reply</v>
      </c>
      <c r="G55" s="29">
        <f ca="1">IFERROR(INDEX('Communication Tracker'!$N$4:$N$200,MATCH(8,'Communication Tracker'!$Q$4:$Q$200,0)),"")</f>
        <v>46292</v>
      </c>
    </row>
    <row r="56" spans="1:8" x14ac:dyDescent="0.3">
      <c r="A56" s="68" t="s">
        <v>60</v>
      </c>
      <c r="B56" s="69"/>
      <c r="C56" s="69"/>
      <c r="D56" s="69"/>
      <c r="E56" s="69"/>
      <c r="F56" s="69"/>
      <c r="G56" s="69"/>
      <c r="H56" s="69"/>
    </row>
  </sheetData>
  <mergeCells count="9">
    <mergeCell ref="A1:N1"/>
    <mergeCell ref="A56:H56"/>
    <mergeCell ref="J5:K5"/>
    <mergeCell ref="J6:K6"/>
    <mergeCell ref="A2:N2"/>
    <mergeCell ref="J7:K7"/>
    <mergeCell ref="J10:K10"/>
    <mergeCell ref="J8:K8"/>
    <mergeCell ref="J9:K9"/>
  </mergeCells>
  <conditionalFormatting sqref="K15:K22">
    <cfRule type="cellIs" dxfId="15" priority="1" operator="lessThanOrEqual">
      <formula>14</formula>
    </cfRule>
    <cfRule type="cellIs" dxfId="14" priority="2" operator="greaterThan">
      <formula>14</formula>
    </cfRule>
  </conditionalFormatting>
  <conditionalFormatting sqref="E48:E55">
    <cfRule type="cellIs" dxfId="13" priority="3" operator="greaterThan">
      <formula>14</formula>
    </cfRule>
    <cfRule type="cellIs" dxfId="12" priority="4" operator="between">
      <formula>7</formula>
      <formula>14</formula>
    </cfRule>
  </conditionalFormatting>
  <hyperlinks>
    <hyperlink ref="A1" r:id="rId1" xr:uid="{00000000-0004-0000-0000-000000000000}"/>
    <hyperlink ref="B5" location="'Position Database'!B3" display="Target_x000a_Positions" xr:uid="{00000000-0004-0000-0000-000001000000}"/>
    <hyperlink ref="C5" location="'Communication Tracker'!E3" display="Emails_x000a_Sent" xr:uid="{00000000-0004-0000-0000-000002000000}"/>
    <hyperlink ref="D5" location="'Response Management'!D3" display="Replies_x000a_Received" xr:uid="{00000000-0004-0000-0000-000003000000}"/>
    <hyperlink ref="E5" location="'Response Management'!E3" display="Response_x000a_Rate" xr:uid="{00000000-0004-0000-0000-000004000000}"/>
    <hyperlink ref="F5" location="'Communication Tracker'!M3" display="Overdue_x000a_Follow-ups" xr:uid="{00000000-0004-0000-0000-000005000000}"/>
    <hyperlink ref="G5" location="'Response Management'!G3" display="Upcoming_x000a_Interviews" xr:uid="{00000000-0004-0000-0000-000006000000}"/>
    <hyperlink ref="H5" location="'Response Management'!H3" display="Final_x000a_Acceptances" xr:uid="{00000000-0004-0000-0000-000007000000}"/>
    <hyperlink ref="J5" location="'Position Database'!A3" display="▶  Position Database" xr:uid="{00000000-0004-0000-0000-000008000000}"/>
    <hyperlink ref="B6" location="'Position Database'!B3" display="=COUNTA('Position Database'!$B$4:$B$200)" xr:uid="{00000000-0004-0000-0000-000009000000}"/>
    <hyperlink ref="C6" location="'Communication Tracker'!E3" display="=COUNTA('Communication Tracker'!$E$4:$E$200)" xr:uid="{00000000-0004-0000-0000-00000A000000}"/>
    <hyperlink ref="D6" location="'Response Management'!D3" display="=COUNTA('Response Management'!$D$4:$D$119)" xr:uid="{00000000-0004-0000-0000-00000B000000}"/>
    <hyperlink ref="E6" location="'Response Management'!E3" display="=IFERROR(COUNTA('Response Management'!$D$4:$D$119)/COUNTA('Communication Tracker'!$E$4:$E$200),0)" xr:uid="{00000000-0004-0000-0000-00000C000000}"/>
    <hyperlink ref="F6" location="'Communication Tracker'!M3" display="=COUNTIF('Communication Tracker'!$M$4:$M$200,&quot;&gt;14&quot;)" xr:uid="{00000000-0004-0000-0000-00000D000000}"/>
    <hyperlink ref="G6" location="'Response Management'!G3" display="=COUNTIF('Response Management'!$E$4:$E$119,&quot;Interview Invitation&quot;)" xr:uid="{00000000-0004-0000-0000-00000E000000}"/>
    <hyperlink ref="H6" location="'Response Management'!H3" display="=COUNTIF('Response Management'!$E$4:$E$119,&quot;Accepted&quot;)" xr:uid="{00000000-0004-0000-0000-00000F000000}"/>
    <hyperlink ref="J6" location="'Communication Tracker'!A3" display="▶  Communication Tracker" xr:uid="{00000000-0004-0000-0000-000010000000}"/>
    <hyperlink ref="J7" location="'Response Management'!A3" display="▶  Response Management" xr:uid="{00000000-0004-0000-0000-000011000000}"/>
    <hyperlink ref="B8" location="'Position Database'!D3" display="POSITIONS BY COUNTRY  →  Position Database" xr:uid="{00000000-0004-0000-0000-000012000000}"/>
    <hyperlink ref="F8" location="'Communication Tracker'!O3" display="OUTREACH STATUS  →  Communication Tracker" xr:uid="{00000000-0004-0000-0000-000013000000}"/>
    <hyperlink ref="J8" location="'Follow-up Alerts'!A3" display="▶  Follow-up Alerts" xr:uid="{00000000-0004-0000-0000-000014000000}"/>
    <hyperlink ref="J9" location="'Email Templates'!A3" display="▶  Email Templates" xr:uid="{00000000-0004-0000-0000-000015000000}"/>
    <hyperlink ref="J10" location="'How It Works'!A3" display="▶  How It Works" xr:uid="{00000000-0004-0000-0000-000016000000}"/>
    <hyperlink ref="B27" location="'Response Management'!E3" display="APPLICATION FUNNEL  →  Response Management" xr:uid="{00000000-0004-0000-0000-000017000000}"/>
    <hyperlink ref="F27" location="'Position Database'!F3" display="PHD VS POSTDOC  →  Position Database" xr:uid="{00000000-0004-0000-0000-000018000000}"/>
  </hyperlink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E7C7B"/>
  </sheetPr>
  <dimension ref="A1:Q200"/>
  <sheetViews>
    <sheetView showGridLines="0" workbookViewId="0">
      <pane ySplit="3" topLeftCell="A4" activePane="bottomLeft" state="frozen"/>
      <selection pane="bottomLeft"/>
    </sheetView>
  </sheetViews>
  <sheetFormatPr defaultRowHeight="14.4" x14ac:dyDescent="0.3"/>
  <cols>
    <col min="1" max="1" width="6" customWidth="1"/>
    <col min="2" max="2" width="46" customWidth="1"/>
    <col min="3" max="3" width="28" customWidth="1"/>
    <col min="4" max="4" width="14" customWidth="1"/>
    <col min="5" max="5" width="15" customWidth="1"/>
    <col min="6" max="6" width="9" customWidth="1"/>
    <col min="7" max="7" width="30" customWidth="1"/>
    <col min="8" max="8" width="14" customWidth="1"/>
    <col min="9" max="10" width="12" customWidth="1"/>
    <col min="11" max="11" width="10" customWidth="1"/>
    <col min="12" max="12" width="16" customWidth="1"/>
    <col min="13" max="13" width="24" customWidth="1"/>
    <col min="14" max="14" width="34" customWidth="1"/>
    <col min="15" max="15" width="30" customWidth="1"/>
    <col min="17" max="17" width="13" hidden="1" customWidth="1"/>
  </cols>
  <sheetData>
    <row r="1" spans="1:17" ht="34.049999999999997" customHeight="1" x14ac:dyDescent="0.3">
      <c r="A1" s="78" t="s">
        <v>61</v>
      </c>
      <c r="B1" s="69"/>
      <c r="C1" s="69"/>
      <c r="D1" s="69"/>
      <c r="E1" s="69"/>
      <c r="F1" s="69"/>
      <c r="G1" s="69"/>
      <c r="H1" s="69"/>
      <c r="I1" s="69"/>
      <c r="J1" s="69"/>
      <c r="K1" s="69"/>
      <c r="L1" s="69"/>
      <c r="M1" s="69"/>
      <c r="N1" s="69"/>
      <c r="O1" s="69"/>
    </row>
    <row r="2" spans="1:17" ht="19.95" customHeight="1" x14ac:dyDescent="0.3">
      <c r="A2" s="79" t="s">
        <v>62</v>
      </c>
      <c r="B2" s="69"/>
      <c r="C2" s="69"/>
      <c r="D2" s="69"/>
      <c r="E2" s="69"/>
      <c r="F2" s="69"/>
      <c r="G2" s="69"/>
      <c r="H2" s="69"/>
      <c r="I2" s="69"/>
      <c r="J2" s="69"/>
      <c r="K2" s="69"/>
      <c r="L2" s="69"/>
      <c r="M2" s="69"/>
      <c r="N2" s="80" t="s">
        <v>63</v>
      </c>
      <c r="O2" s="69"/>
    </row>
    <row r="3" spans="1:17" ht="34.049999999999997" customHeight="1" x14ac:dyDescent="0.3">
      <c r="A3" s="30" t="s">
        <v>64</v>
      </c>
      <c r="B3" s="30" t="s">
        <v>56</v>
      </c>
      <c r="C3" s="30" t="s">
        <v>57</v>
      </c>
      <c r="D3" s="31" t="s">
        <v>3</v>
      </c>
      <c r="E3" s="30" t="s">
        <v>65</v>
      </c>
      <c r="F3" s="32" t="s">
        <v>46</v>
      </c>
      <c r="G3" s="30" t="s">
        <v>66</v>
      </c>
      <c r="H3" s="30" t="s">
        <v>67</v>
      </c>
      <c r="I3" s="30" t="s">
        <v>68</v>
      </c>
      <c r="J3" s="30" t="s">
        <v>69</v>
      </c>
      <c r="K3" s="30" t="s">
        <v>70</v>
      </c>
      <c r="L3" s="30" t="s">
        <v>71</v>
      </c>
      <c r="M3" s="30" t="s">
        <v>72</v>
      </c>
      <c r="N3" s="30" t="s">
        <v>73</v>
      </c>
      <c r="O3" s="30" t="s">
        <v>74</v>
      </c>
      <c r="Q3" s="33" t="s">
        <v>75</v>
      </c>
    </row>
    <row r="4" spans="1:17" ht="30" customHeight="1" x14ac:dyDescent="0.3">
      <c r="A4" s="34">
        <v>1</v>
      </c>
      <c r="B4" s="35" t="s">
        <v>76</v>
      </c>
      <c r="C4" s="36" t="s">
        <v>77</v>
      </c>
      <c r="D4" s="37" t="s">
        <v>7</v>
      </c>
      <c r="E4" s="34" t="s">
        <v>78</v>
      </c>
      <c r="F4" s="38" t="s">
        <v>48</v>
      </c>
      <c r="G4" s="39" t="s">
        <v>79</v>
      </c>
      <c r="H4" s="34" t="s">
        <v>80</v>
      </c>
      <c r="I4" s="40">
        <v>46295</v>
      </c>
      <c r="J4" s="41">
        <f t="shared" ref="J4:J35" ca="1" si="0">IF(I4="","",I4-TODAY())</f>
        <v>2</v>
      </c>
      <c r="K4" s="34" t="s">
        <v>81</v>
      </c>
      <c r="L4" s="34"/>
      <c r="M4" s="36"/>
      <c r="N4" s="42" t="s">
        <v>82</v>
      </c>
      <c r="O4" s="39"/>
      <c r="Q4">
        <f ca="1">IF(AND($A4&lt;&gt;"",ISNUMBER(J4),J4&gt;=0),COUNTIFS($J$4:$J$200,"&gt;=0",$J$4:$J$200,"&lt;"&amp;J4)+COUNTIF($J$4:J4,J4),"")</f>
        <v>1</v>
      </c>
    </row>
    <row r="5" spans="1:17" ht="30" customHeight="1" x14ac:dyDescent="0.3">
      <c r="A5" s="34">
        <v>2</v>
      </c>
      <c r="B5" s="35" t="s">
        <v>83</v>
      </c>
      <c r="C5" s="36" t="s">
        <v>84</v>
      </c>
      <c r="D5" s="37" t="s">
        <v>7</v>
      </c>
      <c r="E5" s="34" t="s">
        <v>78</v>
      </c>
      <c r="F5" s="38" t="s">
        <v>47</v>
      </c>
      <c r="G5" s="39" t="s">
        <v>85</v>
      </c>
      <c r="H5" s="34" t="s">
        <v>80</v>
      </c>
      <c r="I5" s="40">
        <v>46300</v>
      </c>
      <c r="J5" s="41">
        <f t="shared" ca="1" si="0"/>
        <v>7</v>
      </c>
      <c r="K5" s="34" t="s">
        <v>86</v>
      </c>
      <c r="L5" s="34"/>
      <c r="M5" s="36"/>
      <c r="N5" s="42" t="s">
        <v>87</v>
      </c>
      <c r="O5" s="39"/>
      <c r="Q5">
        <f ca="1">IF(AND($A5&lt;&gt;"",ISNUMBER(J5),J5&gt;=0),COUNTIFS($J$4:$J$200,"&gt;=0",$J$4:$J$200,"&lt;"&amp;J5)+COUNTIF($J$4:J5,J5),"")</f>
        <v>7</v>
      </c>
    </row>
    <row r="6" spans="1:17" ht="30" customHeight="1" x14ac:dyDescent="0.3">
      <c r="A6" s="34">
        <v>3</v>
      </c>
      <c r="B6" s="35" t="s">
        <v>88</v>
      </c>
      <c r="C6" s="36" t="s">
        <v>89</v>
      </c>
      <c r="D6" s="37" t="s">
        <v>18</v>
      </c>
      <c r="E6" s="34" t="s">
        <v>90</v>
      </c>
      <c r="F6" s="38" t="s">
        <v>47</v>
      </c>
      <c r="G6" s="39" t="s">
        <v>91</v>
      </c>
      <c r="H6" s="34" t="s">
        <v>80</v>
      </c>
      <c r="I6" s="40">
        <v>46339</v>
      </c>
      <c r="J6" s="41">
        <f t="shared" ca="1" si="0"/>
        <v>46</v>
      </c>
      <c r="K6" s="34" t="s">
        <v>92</v>
      </c>
      <c r="L6" s="34"/>
      <c r="M6" s="36"/>
      <c r="N6" s="42" t="s">
        <v>93</v>
      </c>
      <c r="O6" s="39"/>
      <c r="Q6">
        <f ca="1">IF(AND($A6&lt;&gt;"",ISNUMBER(J6),J6&gt;=0),COUNTIFS($J$4:$J$200,"&gt;=0",$J$4:$J$200,"&lt;"&amp;J6)+COUNTIF($J$4:J6,J6),"")</f>
        <v>15</v>
      </c>
    </row>
    <row r="7" spans="1:17" ht="30" customHeight="1" x14ac:dyDescent="0.3">
      <c r="A7" s="34">
        <v>4</v>
      </c>
      <c r="B7" s="35" t="s">
        <v>94</v>
      </c>
      <c r="C7" s="36" t="s">
        <v>95</v>
      </c>
      <c r="D7" s="37" t="s">
        <v>7</v>
      </c>
      <c r="E7" s="34" t="s">
        <v>78</v>
      </c>
      <c r="F7" s="38" t="s">
        <v>47</v>
      </c>
      <c r="G7" s="39" t="s">
        <v>96</v>
      </c>
      <c r="H7" s="34" t="s">
        <v>80</v>
      </c>
      <c r="I7" s="40">
        <v>46307</v>
      </c>
      <c r="J7" s="41">
        <f t="shared" ca="1" si="0"/>
        <v>14</v>
      </c>
      <c r="K7" s="34" t="s">
        <v>81</v>
      </c>
      <c r="L7" s="34"/>
      <c r="M7" s="36"/>
      <c r="N7" s="42" t="s">
        <v>97</v>
      </c>
      <c r="O7" s="39"/>
      <c r="Q7">
        <f ca="1">IF(AND($A7&lt;&gt;"",ISNUMBER(J7),J7&gt;=0),COUNTIFS($J$4:$J$200,"&gt;=0",$J$4:$J$200,"&lt;"&amp;J7)+COUNTIF($J$4:J7,J7),"")</f>
        <v>10</v>
      </c>
    </row>
    <row r="8" spans="1:17" ht="30" customHeight="1" x14ac:dyDescent="0.3">
      <c r="A8" s="34">
        <v>5</v>
      </c>
      <c r="B8" s="35" t="s">
        <v>98</v>
      </c>
      <c r="C8" s="36" t="s">
        <v>99</v>
      </c>
      <c r="D8" s="37" t="s">
        <v>7</v>
      </c>
      <c r="E8" s="34" t="s">
        <v>100</v>
      </c>
      <c r="F8" s="38" t="s">
        <v>47</v>
      </c>
      <c r="G8" s="39" t="s">
        <v>101</v>
      </c>
      <c r="H8" s="34" t="s">
        <v>80</v>
      </c>
      <c r="I8" s="40">
        <v>46295</v>
      </c>
      <c r="J8" s="41">
        <f t="shared" ca="1" si="0"/>
        <v>2</v>
      </c>
      <c r="K8" s="34" t="s">
        <v>86</v>
      </c>
      <c r="L8" s="34"/>
      <c r="M8" s="36"/>
      <c r="N8" s="42" t="s">
        <v>102</v>
      </c>
      <c r="O8" s="39"/>
      <c r="Q8">
        <f ca="1">IF(AND($A8&lt;&gt;"",ISNUMBER(J8),J8&gt;=0),COUNTIFS($J$4:$J$200,"&gt;=0",$J$4:$J$200,"&lt;"&amp;J8)+COUNTIF($J$4:J8,J8),"")</f>
        <v>2</v>
      </c>
    </row>
    <row r="9" spans="1:17" ht="30" customHeight="1" x14ac:dyDescent="0.3">
      <c r="A9" s="34">
        <v>6</v>
      </c>
      <c r="B9" s="35" t="s">
        <v>103</v>
      </c>
      <c r="C9" s="36" t="s">
        <v>104</v>
      </c>
      <c r="D9" s="37" t="s">
        <v>24</v>
      </c>
      <c r="E9" s="34" t="s">
        <v>105</v>
      </c>
      <c r="F9" s="38" t="s">
        <v>47</v>
      </c>
      <c r="G9" s="39" t="s">
        <v>106</v>
      </c>
      <c r="H9" s="34" t="s">
        <v>107</v>
      </c>
      <c r="I9" s="40"/>
      <c r="J9" s="41" t="str">
        <f t="shared" ca="1" si="0"/>
        <v/>
      </c>
      <c r="K9" s="34" t="s">
        <v>92</v>
      </c>
      <c r="L9" s="34"/>
      <c r="M9" s="36"/>
      <c r="N9" s="42" t="s">
        <v>108</v>
      </c>
      <c r="O9" s="39"/>
      <c r="Q9" t="str">
        <f ca="1">IF(AND($A9&lt;&gt;"",ISNUMBER(J9),J9&gt;=0),COUNTIFS($J$4:$J$200,"&gt;=0",$J$4:$J$200,"&lt;"&amp;J9)+COUNTIF($J$4:J9,J9),"")</f>
        <v/>
      </c>
    </row>
    <row r="10" spans="1:17" ht="30" customHeight="1" x14ac:dyDescent="0.3">
      <c r="A10" s="34">
        <v>7</v>
      </c>
      <c r="B10" s="35" t="s">
        <v>109</v>
      </c>
      <c r="C10" s="36" t="s">
        <v>110</v>
      </c>
      <c r="D10" s="37" t="s">
        <v>20</v>
      </c>
      <c r="E10" s="34" t="s">
        <v>111</v>
      </c>
      <c r="F10" s="38" t="s">
        <v>48</v>
      </c>
      <c r="G10" s="39" t="s">
        <v>112</v>
      </c>
      <c r="H10" s="34" t="s">
        <v>80</v>
      </c>
      <c r="I10" s="40"/>
      <c r="J10" s="41" t="str">
        <f t="shared" ca="1" si="0"/>
        <v/>
      </c>
      <c r="K10" s="34" t="s">
        <v>81</v>
      </c>
      <c r="L10" s="34"/>
      <c r="M10" s="36"/>
      <c r="N10" s="42" t="s">
        <v>113</v>
      </c>
      <c r="O10" s="39"/>
      <c r="Q10" t="str">
        <f ca="1">IF(AND($A10&lt;&gt;"",ISNUMBER(J10),J10&gt;=0),COUNTIFS($J$4:$J$200,"&gt;=0",$J$4:$J$200,"&lt;"&amp;J10)+COUNTIF($J$4:J10,J10),"")</f>
        <v/>
      </c>
    </row>
    <row r="11" spans="1:17" ht="30" customHeight="1" x14ac:dyDescent="0.3">
      <c r="A11" s="34">
        <v>8</v>
      </c>
      <c r="B11" s="35" t="s">
        <v>114</v>
      </c>
      <c r="C11" s="36" t="s">
        <v>115</v>
      </c>
      <c r="D11" s="37" t="s">
        <v>7</v>
      </c>
      <c r="E11" s="34" t="s">
        <v>116</v>
      </c>
      <c r="F11" s="38" t="s">
        <v>47</v>
      </c>
      <c r="G11" s="39" t="s">
        <v>117</v>
      </c>
      <c r="H11" s="34" t="s">
        <v>80</v>
      </c>
      <c r="I11" s="40">
        <v>46306</v>
      </c>
      <c r="J11" s="41">
        <f t="shared" ca="1" si="0"/>
        <v>13</v>
      </c>
      <c r="K11" s="34" t="s">
        <v>86</v>
      </c>
      <c r="L11" s="34"/>
      <c r="M11" s="36"/>
      <c r="N11" s="42" t="s">
        <v>118</v>
      </c>
      <c r="O11" s="39"/>
      <c r="Q11">
        <f ca="1">IF(AND($A11&lt;&gt;"",ISNUMBER(J11),J11&gt;=0),COUNTIFS($J$4:$J$200,"&gt;=0",$J$4:$J$200,"&lt;"&amp;J11)+COUNTIF($J$4:J11,J11),"")</f>
        <v>9</v>
      </c>
    </row>
    <row r="12" spans="1:17" ht="30" customHeight="1" x14ac:dyDescent="0.3">
      <c r="A12" s="34">
        <v>9</v>
      </c>
      <c r="B12" s="35" t="s">
        <v>119</v>
      </c>
      <c r="C12" s="36" t="s">
        <v>120</v>
      </c>
      <c r="D12" s="37" t="s">
        <v>32</v>
      </c>
      <c r="E12" s="34" t="s">
        <v>121</v>
      </c>
      <c r="F12" s="38" t="s">
        <v>48</v>
      </c>
      <c r="G12" s="39" t="s">
        <v>122</v>
      </c>
      <c r="H12" s="34" t="s">
        <v>80</v>
      </c>
      <c r="I12" s="40">
        <v>46297</v>
      </c>
      <c r="J12" s="41">
        <f t="shared" ca="1" si="0"/>
        <v>4</v>
      </c>
      <c r="K12" s="34" t="s">
        <v>92</v>
      </c>
      <c r="L12" s="34"/>
      <c r="M12" s="36"/>
      <c r="N12" s="42" t="s">
        <v>123</v>
      </c>
      <c r="O12" s="39"/>
      <c r="Q12">
        <f ca="1">IF(AND($A12&lt;&gt;"",ISNUMBER(J12),J12&gt;=0),COUNTIFS($J$4:$J$200,"&gt;=0",$J$4:$J$200,"&lt;"&amp;J12)+COUNTIF($J$4:J12,J12),"")</f>
        <v>6</v>
      </c>
    </row>
    <row r="13" spans="1:17" ht="30" customHeight="1" x14ac:dyDescent="0.3">
      <c r="A13" s="34">
        <v>10</v>
      </c>
      <c r="B13" s="35" t="s">
        <v>124</v>
      </c>
      <c r="C13" s="36" t="s">
        <v>125</v>
      </c>
      <c r="D13" s="37" t="s">
        <v>16</v>
      </c>
      <c r="E13" s="34" t="s">
        <v>126</v>
      </c>
      <c r="F13" s="38" t="s">
        <v>47</v>
      </c>
      <c r="G13" s="39" t="s">
        <v>127</v>
      </c>
      <c r="H13" s="34" t="s">
        <v>80</v>
      </c>
      <c r="I13" s="40">
        <v>46296</v>
      </c>
      <c r="J13" s="41">
        <f t="shared" ca="1" si="0"/>
        <v>3</v>
      </c>
      <c r="K13" s="34" t="s">
        <v>81</v>
      </c>
      <c r="L13" s="34"/>
      <c r="M13" s="36"/>
      <c r="N13" s="42" t="s">
        <v>128</v>
      </c>
      <c r="O13" s="39"/>
      <c r="Q13">
        <f ca="1">IF(AND($A13&lt;&gt;"",ISNUMBER(J13),J13&gt;=0),COUNTIFS($J$4:$J$200,"&gt;=0",$J$4:$J$200,"&lt;"&amp;J13)+COUNTIF($J$4:J13,J13),"")</f>
        <v>5</v>
      </c>
    </row>
    <row r="14" spans="1:17" ht="30" customHeight="1" x14ac:dyDescent="0.3">
      <c r="A14" s="34">
        <v>11</v>
      </c>
      <c r="B14" s="35" t="s">
        <v>129</v>
      </c>
      <c r="C14" s="36" t="s">
        <v>130</v>
      </c>
      <c r="D14" s="37" t="s">
        <v>7</v>
      </c>
      <c r="E14" s="34" t="s">
        <v>131</v>
      </c>
      <c r="F14" s="38" t="s">
        <v>47</v>
      </c>
      <c r="G14" s="39" t="s">
        <v>132</v>
      </c>
      <c r="H14" s="34" t="s">
        <v>80</v>
      </c>
      <c r="I14" s="40">
        <v>46313</v>
      </c>
      <c r="J14" s="41">
        <f t="shared" ca="1" si="0"/>
        <v>20</v>
      </c>
      <c r="K14" s="34" t="s">
        <v>86</v>
      </c>
      <c r="L14" s="34"/>
      <c r="M14" s="36"/>
      <c r="N14" s="42" t="s">
        <v>133</v>
      </c>
      <c r="O14" s="39"/>
      <c r="Q14">
        <f ca="1">IF(AND($A14&lt;&gt;"",ISNUMBER(J14),J14&gt;=0),COUNTIFS($J$4:$J$200,"&gt;=0",$J$4:$J$200,"&lt;"&amp;J14)+COUNTIF($J$4:J14,J14),"")</f>
        <v>12</v>
      </c>
    </row>
    <row r="15" spans="1:17" ht="30" customHeight="1" x14ac:dyDescent="0.3">
      <c r="A15" s="34">
        <v>12</v>
      </c>
      <c r="B15" s="35" t="s">
        <v>134</v>
      </c>
      <c r="C15" s="36" t="s">
        <v>125</v>
      </c>
      <c r="D15" s="37" t="s">
        <v>16</v>
      </c>
      <c r="E15" s="34" t="s">
        <v>126</v>
      </c>
      <c r="F15" s="38" t="s">
        <v>48</v>
      </c>
      <c r="G15" s="39" t="s">
        <v>135</v>
      </c>
      <c r="H15" s="34" t="s">
        <v>107</v>
      </c>
      <c r="I15" s="40">
        <v>46321</v>
      </c>
      <c r="J15" s="41">
        <f t="shared" ca="1" si="0"/>
        <v>28</v>
      </c>
      <c r="K15" s="34" t="s">
        <v>92</v>
      </c>
      <c r="L15" s="34"/>
      <c r="M15" s="36"/>
      <c r="N15" s="42" t="s">
        <v>136</v>
      </c>
      <c r="O15" s="39"/>
      <c r="Q15">
        <f ca="1">IF(AND($A15&lt;&gt;"",ISNUMBER(J15),J15&gt;=0),COUNTIFS($J$4:$J$200,"&gt;=0",$J$4:$J$200,"&lt;"&amp;J15)+COUNTIF($J$4:J15,J15),"")</f>
        <v>14</v>
      </c>
    </row>
    <row r="16" spans="1:17" ht="30" customHeight="1" x14ac:dyDescent="0.3">
      <c r="A16" s="34">
        <v>13</v>
      </c>
      <c r="B16" s="35" t="s">
        <v>137</v>
      </c>
      <c r="C16" s="36" t="s">
        <v>138</v>
      </c>
      <c r="D16" s="37" t="s">
        <v>18</v>
      </c>
      <c r="E16" s="34" t="s">
        <v>139</v>
      </c>
      <c r="F16" s="38" t="s">
        <v>48</v>
      </c>
      <c r="G16" s="39" t="s">
        <v>140</v>
      </c>
      <c r="H16" s="34" t="s">
        <v>107</v>
      </c>
      <c r="I16" s="40">
        <v>46301</v>
      </c>
      <c r="J16" s="41">
        <f t="shared" ca="1" si="0"/>
        <v>8</v>
      </c>
      <c r="K16" s="34" t="s">
        <v>81</v>
      </c>
      <c r="L16" s="34"/>
      <c r="M16" s="36"/>
      <c r="N16" s="42" t="s">
        <v>141</v>
      </c>
      <c r="O16" s="39"/>
      <c r="Q16">
        <f ca="1">IF(AND($A16&lt;&gt;"",ISNUMBER(J16),J16&gt;=0),COUNTIFS($J$4:$J$200,"&gt;=0",$J$4:$J$200,"&lt;"&amp;J16)+COUNTIF($J$4:J16,J16),"")</f>
        <v>8</v>
      </c>
    </row>
    <row r="17" spans="1:17" ht="30" customHeight="1" x14ac:dyDescent="0.3">
      <c r="A17" s="34">
        <v>14</v>
      </c>
      <c r="B17" s="35" t="s">
        <v>142</v>
      </c>
      <c r="C17" s="36" t="s">
        <v>110</v>
      </c>
      <c r="D17" s="37" t="s">
        <v>20</v>
      </c>
      <c r="E17" s="34" t="s">
        <v>111</v>
      </c>
      <c r="F17" s="38" t="s">
        <v>48</v>
      </c>
      <c r="G17" s="39" t="s">
        <v>143</v>
      </c>
      <c r="H17" s="34" t="s">
        <v>80</v>
      </c>
      <c r="I17" s="40"/>
      <c r="J17" s="41" t="str">
        <f t="shared" ca="1" si="0"/>
        <v/>
      </c>
      <c r="K17" s="34" t="s">
        <v>86</v>
      </c>
      <c r="L17" s="34"/>
      <c r="M17" s="36"/>
      <c r="N17" s="42" t="s">
        <v>144</v>
      </c>
      <c r="O17" s="39"/>
      <c r="Q17" t="str">
        <f ca="1">IF(AND($A17&lt;&gt;"",ISNUMBER(J17),J17&gt;=0),COUNTIFS($J$4:$J$200,"&gt;=0",$J$4:$J$200,"&lt;"&amp;J17)+COUNTIF($J$4:J17,J17),"")</f>
        <v/>
      </c>
    </row>
    <row r="18" spans="1:17" ht="30" customHeight="1" x14ac:dyDescent="0.3">
      <c r="A18" s="34">
        <v>15</v>
      </c>
      <c r="B18" s="35" t="s">
        <v>145</v>
      </c>
      <c r="C18" s="36" t="s">
        <v>146</v>
      </c>
      <c r="D18" s="37" t="s">
        <v>35</v>
      </c>
      <c r="E18" s="34" t="s">
        <v>147</v>
      </c>
      <c r="F18" s="38" t="s">
        <v>48</v>
      </c>
      <c r="G18" s="39" t="s">
        <v>148</v>
      </c>
      <c r="H18" s="34" t="s">
        <v>80</v>
      </c>
      <c r="I18" s="40">
        <v>46317</v>
      </c>
      <c r="J18" s="41">
        <f t="shared" ca="1" si="0"/>
        <v>24</v>
      </c>
      <c r="K18" s="34" t="s">
        <v>92</v>
      </c>
      <c r="L18" s="34"/>
      <c r="M18" s="36"/>
      <c r="N18" s="42" t="s">
        <v>149</v>
      </c>
      <c r="O18" s="39"/>
      <c r="Q18">
        <f ca="1">IF(AND($A18&lt;&gt;"",ISNUMBER(J18),J18&gt;=0),COUNTIFS($J$4:$J$200,"&gt;=0",$J$4:$J$200,"&lt;"&amp;J18)+COUNTIF($J$4:J18,J18),"")</f>
        <v>13</v>
      </c>
    </row>
    <row r="19" spans="1:17" ht="30" customHeight="1" x14ac:dyDescent="0.3">
      <c r="A19" s="34">
        <v>16</v>
      </c>
      <c r="B19" s="35" t="s">
        <v>150</v>
      </c>
      <c r="C19" s="36" t="s">
        <v>151</v>
      </c>
      <c r="D19" s="37" t="s">
        <v>16</v>
      </c>
      <c r="E19" s="34" t="s">
        <v>152</v>
      </c>
      <c r="F19" s="38" t="s">
        <v>48</v>
      </c>
      <c r="G19" s="39" t="s">
        <v>153</v>
      </c>
      <c r="H19" s="34" t="s">
        <v>80</v>
      </c>
      <c r="I19" s="40">
        <v>46310</v>
      </c>
      <c r="J19" s="41">
        <f t="shared" ca="1" si="0"/>
        <v>17</v>
      </c>
      <c r="K19" s="34" t="s">
        <v>81</v>
      </c>
      <c r="L19" s="34" t="s">
        <v>154</v>
      </c>
      <c r="M19" s="36" t="s">
        <v>155</v>
      </c>
      <c r="N19" s="42" t="s">
        <v>156</v>
      </c>
      <c r="O19" s="39"/>
      <c r="Q19">
        <f ca="1">IF(AND($A19&lt;&gt;"",ISNUMBER(J19),J19&gt;=0),COUNTIFS($J$4:$J$200,"&gt;=0",$J$4:$J$200,"&lt;"&amp;J19)+COUNTIF($J$4:J19,J19),"")</f>
        <v>11</v>
      </c>
    </row>
    <row r="20" spans="1:17" ht="30" customHeight="1" x14ac:dyDescent="0.3">
      <c r="A20" s="34">
        <v>17</v>
      </c>
      <c r="B20" s="35" t="s">
        <v>157</v>
      </c>
      <c r="C20" s="36" t="s">
        <v>158</v>
      </c>
      <c r="D20" s="37" t="s">
        <v>30</v>
      </c>
      <c r="E20" s="34" t="s">
        <v>159</v>
      </c>
      <c r="F20" s="38" t="s">
        <v>47</v>
      </c>
      <c r="G20" s="39" t="s">
        <v>160</v>
      </c>
      <c r="H20" s="34" t="s">
        <v>107</v>
      </c>
      <c r="I20" s="40">
        <v>46295</v>
      </c>
      <c r="J20" s="41">
        <f t="shared" ca="1" si="0"/>
        <v>2</v>
      </c>
      <c r="K20" s="34" t="s">
        <v>86</v>
      </c>
      <c r="L20" s="34"/>
      <c r="M20" s="36"/>
      <c r="N20" s="42" t="s">
        <v>161</v>
      </c>
      <c r="O20" s="39"/>
      <c r="Q20">
        <f ca="1">IF(AND($A20&lt;&gt;"",ISNUMBER(J20),J20&gt;=0),COUNTIFS($J$4:$J$200,"&gt;=0",$J$4:$J$200,"&lt;"&amp;J20)+COUNTIF($J$4:J20,J20),"")</f>
        <v>3</v>
      </c>
    </row>
    <row r="21" spans="1:17" ht="30" customHeight="1" x14ac:dyDescent="0.3">
      <c r="A21" s="34">
        <v>18</v>
      </c>
      <c r="B21" s="35" t="s">
        <v>162</v>
      </c>
      <c r="C21" s="36" t="s">
        <v>163</v>
      </c>
      <c r="D21" s="37" t="s">
        <v>26</v>
      </c>
      <c r="E21" s="34" t="s">
        <v>164</v>
      </c>
      <c r="F21" s="38" t="s">
        <v>47</v>
      </c>
      <c r="G21" s="39" t="s">
        <v>165</v>
      </c>
      <c r="H21" s="34" t="s">
        <v>107</v>
      </c>
      <c r="I21" s="40"/>
      <c r="J21" s="41" t="str">
        <f t="shared" ca="1" si="0"/>
        <v/>
      </c>
      <c r="K21" s="34" t="s">
        <v>92</v>
      </c>
      <c r="L21" s="34"/>
      <c r="M21" s="36"/>
      <c r="N21" s="42" t="s">
        <v>166</v>
      </c>
      <c r="O21" s="39"/>
      <c r="Q21" t="str">
        <f ca="1">IF(AND($A21&lt;&gt;"",ISNUMBER(J21),J21&gt;=0),COUNTIFS($J$4:$J$200,"&gt;=0",$J$4:$J$200,"&lt;"&amp;J21)+COUNTIF($J$4:J21,J21),"")</f>
        <v/>
      </c>
    </row>
    <row r="22" spans="1:17" ht="30" customHeight="1" x14ac:dyDescent="0.3">
      <c r="A22" s="34">
        <v>19</v>
      </c>
      <c r="B22" s="35" t="s">
        <v>167</v>
      </c>
      <c r="C22" s="36" t="s">
        <v>168</v>
      </c>
      <c r="D22" s="37" t="s">
        <v>28</v>
      </c>
      <c r="E22" s="34" t="s">
        <v>169</v>
      </c>
      <c r="F22" s="38" t="s">
        <v>47</v>
      </c>
      <c r="G22" s="39" t="s">
        <v>170</v>
      </c>
      <c r="H22" s="34" t="s">
        <v>107</v>
      </c>
      <c r="I22" s="40">
        <v>46363</v>
      </c>
      <c r="J22" s="41">
        <f t="shared" ca="1" si="0"/>
        <v>70</v>
      </c>
      <c r="K22" s="34" t="s">
        <v>81</v>
      </c>
      <c r="L22" s="34"/>
      <c r="M22" s="36"/>
      <c r="N22" s="42" t="s">
        <v>171</v>
      </c>
      <c r="O22" s="39"/>
      <c r="Q22">
        <f ca="1">IF(AND($A22&lt;&gt;"",ISNUMBER(J22),J22&gt;=0),COUNTIFS($J$4:$J$200,"&gt;=0",$J$4:$J$200,"&lt;"&amp;J22)+COUNTIF($J$4:J22,J22),"")</f>
        <v>16</v>
      </c>
    </row>
    <row r="23" spans="1:17" ht="30" customHeight="1" x14ac:dyDescent="0.3">
      <c r="A23" s="34">
        <v>20</v>
      </c>
      <c r="B23" s="35" t="s">
        <v>172</v>
      </c>
      <c r="C23" s="36" t="s">
        <v>173</v>
      </c>
      <c r="D23" s="37" t="s">
        <v>29</v>
      </c>
      <c r="E23" s="34" t="s">
        <v>174</v>
      </c>
      <c r="F23" s="38" t="s">
        <v>48</v>
      </c>
      <c r="G23" s="39" t="s">
        <v>175</v>
      </c>
      <c r="H23" s="34" t="s">
        <v>107</v>
      </c>
      <c r="I23" s="40">
        <v>46295</v>
      </c>
      <c r="J23" s="41">
        <f t="shared" ca="1" si="0"/>
        <v>2</v>
      </c>
      <c r="K23" s="34" t="s">
        <v>86</v>
      </c>
      <c r="L23" s="34"/>
      <c r="M23" s="36"/>
      <c r="N23" s="42" t="s">
        <v>176</v>
      </c>
      <c r="O23" s="39"/>
      <c r="Q23">
        <f ca="1">IF(AND($A23&lt;&gt;"",ISNUMBER(J23),J23&gt;=0),COUNTIFS($J$4:$J$200,"&gt;=0",$J$4:$J$200,"&lt;"&amp;J23)+COUNTIF($J$4:J23,J23),"")</f>
        <v>4</v>
      </c>
    </row>
    <row r="24" spans="1:17" x14ac:dyDescent="0.3">
      <c r="B24" s="43"/>
      <c r="D24" s="44"/>
      <c r="F24" s="45"/>
      <c r="J24" s="41" t="str">
        <f t="shared" ca="1" si="0"/>
        <v/>
      </c>
      <c r="Q24" t="str">
        <f ca="1">IF(AND($A24&lt;&gt;"",ISNUMBER(J24),J24&gt;=0),COUNTIFS($J$4:$J$200,"&gt;=0",$J$4:$J$200,"&lt;"&amp;J24)+COUNTIF($J$4:J24,J24),"")</f>
        <v/>
      </c>
    </row>
    <row r="25" spans="1:17" x14ac:dyDescent="0.3">
      <c r="B25" s="43"/>
      <c r="D25" s="44"/>
      <c r="F25" s="45"/>
      <c r="J25" s="41" t="str">
        <f t="shared" ca="1" si="0"/>
        <v/>
      </c>
      <c r="Q25" t="str">
        <f ca="1">IF(AND($A25&lt;&gt;"",ISNUMBER(J25),J25&gt;=0),COUNTIFS($J$4:$J$200,"&gt;=0",$J$4:$J$200,"&lt;"&amp;J25)+COUNTIF($J$4:J25,J25),"")</f>
        <v/>
      </c>
    </row>
    <row r="26" spans="1:17" x14ac:dyDescent="0.3">
      <c r="B26" s="43"/>
      <c r="D26" s="44"/>
      <c r="F26" s="45"/>
      <c r="J26" s="41" t="str">
        <f t="shared" ca="1" si="0"/>
        <v/>
      </c>
      <c r="Q26" t="str">
        <f ca="1">IF(AND($A26&lt;&gt;"",ISNUMBER(J26),J26&gt;=0),COUNTIFS($J$4:$J$200,"&gt;=0",$J$4:$J$200,"&lt;"&amp;J26)+COUNTIF($J$4:J26,J26),"")</f>
        <v/>
      </c>
    </row>
    <row r="27" spans="1:17" x14ac:dyDescent="0.3">
      <c r="B27" s="43"/>
      <c r="D27" s="44"/>
      <c r="F27" s="45"/>
      <c r="J27" s="41" t="str">
        <f t="shared" ca="1" si="0"/>
        <v/>
      </c>
      <c r="Q27" t="str">
        <f ca="1">IF(AND($A27&lt;&gt;"",ISNUMBER(J27),J27&gt;=0),COUNTIFS($J$4:$J$200,"&gt;=0",$J$4:$J$200,"&lt;"&amp;J27)+COUNTIF($J$4:J27,J27),"")</f>
        <v/>
      </c>
    </row>
    <row r="28" spans="1:17" x14ac:dyDescent="0.3">
      <c r="B28" s="43"/>
      <c r="D28" s="44"/>
      <c r="F28" s="45"/>
      <c r="J28" s="41" t="str">
        <f t="shared" ca="1" si="0"/>
        <v/>
      </c>
      <c r="Q28" t="str">
        <f ca="1">IF(AND($A28&lt;&gt;"",ISNUMBER(J28),J28&gt;=0),COUNTIFS($J$4:$J$200,"&gt;=0",$J$4:$J$200,"&lt;"&amp;J28)+COUNTIF($J$4:J28,J28),"")</f>
        <v/>
      </c>
    </row>
    <row r="29" spans="1:17" x14ac:dyDescent="0.3">
      <c r="B29" s="43"/>
      <c r="D29" s="44"/>
      <c r="F29" s="45"/>
      <c r="J29" s="41" t="str">
        <f t="shared" ca="1" si="0"/>
        <v/>
      </c>
      <c r="Q29" t="str">
        <f ca="1">IF(AND($A29&lt;&gt;"",ISNUMBER(J29),J29&gt;=0),COUNTIFS($J$4:$J$200,"&gt;=0",$J$4:$J$200,"&lt;"&amp;J29)+COUNTIF($J$4:J29,J29),"")</f>
        <v/>
      </c>
    </row>
    <row r="30" spans="1:17" x14ac:dyDescent="0.3">
      <c r="B30" s="43"/>
      <c r="D30" s="44"/>
      <c r="F30" s="45"/>
      <c r="J30" s="41" t="str">
        <f t="shared" ca="1" si="0"/>
        <v/>
      </c>
      <c r="Q30" t="str">
        <f ca="1">IF(AND($A30&lt;&gt;"",ISNUMBER(J30),J30&gt;=0),COUNTIFS($J$4:$J$200,"&gt;=0",$J$4:$J$200,"&lt;"&amp;J30)+COUNTIF($J$4:J30,J30),"")</f>
        <v/>
      </c>
    </row>
    <row r="31" spans="1:17" x14ac:dyDescent="0.3">
      <c r="B31" s="43"/>
      <c r="D31" s="44"/>
      <c r="F31" s="45"/>
      <c r="J31" s="41" t="str">
        <f t="shared" ca="1" si="0"/>
        <v/>
      </c>
      <c r="Q31" t="str">
        <f ca="1">IF(AND($A31&lt;&gt;"",ISNUMBER(J31),J31&gt;=0),COUNTIFS($J$4:$J$200,"&gt;=0",$J$4:$J$200,"&lt;"&amp;J31)+COUNTIF($J$4:J31,J31),"")</f>
        <v/>
      </c>
    </row>
    <row r="32" spans="1:17" x14ac:dyDescent="0.3">
      <c r="B32" s="43"/>
      <c r="D32" s="44"/>
      <c r="F32" s="45"/>
      <c r="J32" s="41" t="str">
        <f t="shared" ca="1" si="0"/>
        <v/>
      </c>
      <c r="Q32" t="str">
        <f ca="1">IF(AND($A32&lt;&gt;"",ISNUMBER(J32),J32&gt;=0),COUNTIFS($J$4:$J$200,"&gt;=0",$J$4:$J$200,"&lt;"&amp;J32)+COUNTIF($J$4:J32,J32),"")</f>
        <v/>
      </c>
    </row>
    <row r="33" spans="2:17" x14ac:dyDescent="0.3">
      <c r="B33" s="43"/>
      <c r="D33" s="44"/>
      <c r="F33" s="45"/>
      <c r="J33" s="41" t="str">
        <f t="shared" ca="1" si="0"/>
        <v/>
      </c>
      <c r="Q33" t="str">
        <f ca="1">IF(AND($A33&lt;&gt;"",ISNUMBER(J33),J33&gt;=0),COUNTIFS($J$4:$J$200,"&gt;=0",$J$4:$J$200,"&lt;"&amp;J33)+COUNTIF($J$4:J33,J33),"")</f>
        <v/>
      </c>
    </row>
    <row r="34" spans="2:17" x14ac:dyDescent="0.3">
      <c r="B34" s="43"/>
      <c r="D34" s="44"/>
      <c r="F34" s="45"/>
      <c r="J34" s="41" t="str">
        <f t="shared" ca="1" si="0"/>
        <v/>
      </c>
      <c r="Q34" t="str">
        <f ca="1">IF(AND($A34&lt;&gt;"",ISNUMBER(J34),J34&gt;=0),COUNTIFS($J$4:$J$200,"&gt;=0",$J$4:$J$200,"&lt;"&amp;J34)+COUNTIF($J$4:J34,J34),"")</f>
        <v/>
      </c>
    </row>
    <row r="35" spans="2:17" x14ac:dyDescent="0.3">
      <c r="B35" s="43"/>
      <c r="D35" s="44"/>
      <c r="F35" s="45"/>
      <c r="J35" s="41" t="str">
        <f t="shared" ca="1" si="0"/>
        <v/>
      </c>
      <c r="Q35" t="str">
        <f ca="1">IF(AND($A35&lt;&gt;"",ISNUMBER(J35),J35&gt;=0),COUNTIFS($J$4:$J$200,"&gt;=0",$J$4:$J$200,"&lt;"&amp;J35)+COUNTIF($J$4:J35,J35),"")</f>
        <v/>
      </c>
    </row>
    <row r="36" spans="2:17" x14ac:dyDescent="0.3">
      <c r="B36" s="43"/>
      <c r="D36" s="44"/>
      <c r="F36" s="45"/>
      <c r="J36" s="41" t="str">
        <f t="shared" ref="J36:J67" ca="1" si="1">IF(I36="","",I36-TODAY())</f>
        <v/>
      </c>
      <c r="Q36" t="str">
        <f ca="1">IF(AND($A36&lt;&gt;"",ISNUMBER(J36),J36&gt;=0),COUNTIFS($J$4:$J$200,"&gt;=0",$J$4:$J$200,"&lt;"&amp;J36)+COUNTIF($J$4:J36,J36),"")</f>
        <v/>
      </c>
    </row>
    <row r="37" spans="2:17" x14ac:dyDescent="0.3">
      <c r="B37" s="43"/>
      <c r="D37" s="44"/>
      <c r="F37" s="45"/>
      <c r="J37" s="41" t="str">
        <f t="shared" ca="1" si="1"/>
        <v/>
      </c>
      <c r="Q37" t="str">
        <f ca="1">IF(AND($A37&lt;&gt;"",ISNUMBER(J37),J37&gt;=0),COUNTIFS($J$4:$J$200,"&gt;=0",$J$4:$J$200,"&lt;"&amp;J37)+COUNTIF($J$4:J37,J37),"")</f>
        <v/>
      </c>
    </row>
    <row r="38" spans="2:17" x14ac:dyDescent="0.3">
      <c r="B38" s="43"/>
      <c r="D38" s="44"/>
      <c r="F38" s="45"/>
      <c r="J38" s="41" t="str">
        <f t="shared" ca="1" si="1"/>
        <v/>
      </c>
      <c r="Q38" t="str">
        <f ca="1">IF(AND($A38&lt;&gt;"",ISNUMBER(J38),J38&gt;=0),COUNTIFS($J$4:$J$200,"&gt;=0",$J$4:$J$200,"&lt;"&amp;J38)+COUNTIF($J$4:J38,J38),"")</f>
        <v/>
      </c>
    </row>
    <row r="39" spans="2:17" x14ac:dyDescent="0.3">
      <c r="B39" s="43"/>
      <c r="D39" s="44"/>
      <c r="F39" s="45"/>
      <c r="J39" s="41" t="str">
        <f t="shared" ca="1" si="1"/>
        <v/>
      </c>
      <c r="Q39" t="str">
        <f ca="1">IF(AND($A39&lt;&gt;"",ISNUMBER(J39),J39&gt;=0),COUNTIFS($J$4:$J$200,"&gt;=0",$J$4:$J$200,"&lt;"&amp;J39)+COUNTIF($J$4:J39,J39),"")</f>
        <v/>
      </c>
    </row>
    <row r="40" spans="2:17" x14ac:dyDescent="0.3">
      <c r="B40" s="43"/>
      <c r="D40" s="44"/>
      <c r="F40" s="45"/>
      <c r="J40" s="41" t="str">
        <f t="shared" ca="1" si="1"/>
        <v/>
      </c>
      <c r="Q40" t="str">
        <f ca="1">IF(AND($A40&lt;&gt;"",ISNUMBER(J40),J40&gt;=0),COUNTIFS($J$4:$J$200,"&gt;=0",$J$4:$J$200,"&lt;"&amp;J40)+COUNTIF($J$4:J40,J40),"")</f>
        <v/>
      </c>
    </row>
    <row r="41" spans="2:17" x14ac:dyDescent="0.3">
      <c r="B41" s="43"/>
      <c r="D41" s="44"/>
      <c r="F41" s="45"/>
      <c r="J41" s="41" t="str">
        <f t="shared" ca="1" si="1"/>
        <v/>
      </c>
      <c r="Q41" t="str">
        <f ca="1">IF(AND($A41&lt;&gt;"",ISNUMBER(J41),J41&gt;=0),COUNTIFS($J$4:$J$200,"&gt;=0",$J$4:$J$200,"&lt;"&amp;J41)+COUNTIF($J$4:J41,J41),"")</f>
        <v/>
      </c>
    </row>
    <row r="42" spans="2:17" x14ac:dyDescent="0.3">
      <c r="B42" s="43"/>
      <c r="D42" s="44"/>
      <c r="F42" s="45"/>
      <c r="J42" s="41" t="str">
        <f t="shared" ca="1" si="1"/>
        <v/>
      </c>
      <c r="Q42" t="str">
        <f ca="1">IF(AND($A42&lt;&gt;"",ISNUMBER(J42),J42&gt;=0),COUNTIFS($J$4:$J$200,"&gt;=0",$J$4:$J$200,"&lt;"&amp;J42)+COUNTIF($J$4:J42,J42),"")</f>
        <v/>
      </c>
    </row>
    <row r="43" spans="2:17" x14ac:dyDescent="0.3">
      <c r="B43" s="43"/>
      <c r="D43" s="44"/>
      <c r="F43" s="45"/>
      <c r="J43" s="41" t="str">
        <f t="shared" ca="1" si="1"/>
        <v/>
      </c>
      <c r="Q43" t="str">
        <f ca="1">IF(AND($A43&lt;&gt;"",ISNUMBER(J43),J43&gt;=0),COUNTIFS($J$4:$J$200,"&gt;=0",$J$4:$J$200,"&lt;"&amp;J43)+COUNTIF($J$4:J43,J43),"")</f>
        <v/>
      </c>
    </row>
    <row r="44" spans="2:17" x14ac:dyDescent="0.3">
      <c r="B44" s="43"/>
      <c r="D44" s="44"/>
      <c r="F44" s="45"/>
      <c r="J44" s="41" t="str">
        <f t="shared" ca="1" si="1"/>
        <v/>
      </c>
      <c r="Q44" t="str">
        <f ca="1">IF(AND($A44&lt;&gt;"",ISNUMBER(J44),J44&gt;=0),COUNTIFS($J$4:$J$200,"&gt;=0",$J$4:$J$200,"&lt;"&amp;J44)+COUNTIF($J$4:J44,J44),"")</f>
        <v/>
      </c>
    </row>
    <row r="45" spans="2:17" x14ac:dyDescent="0.3">
      <c r="B45" s="43"/>
      <c r="D45" s="44"/>
      <c r="F45" s="45"/>
      <c r="J45" s="41" t="str">
        <f t="shared" ca="1" si="1"/>
        <v/>
      </c>
      <c r="Q45" t="str">
        <f ca="1">IF(AND($A45&lt;&gt;"",ISNUMBER(J45),J45&gt;=0),COUNTIFS($J$4:$J$200,"&gt;=0",$J$4:$J$200,"&lt;"&amp;J45)+COUNTIF($J$4:J45,J45),"")</f>
        <v/>
      </c>
    </row>
    <row r="46" spans="2:17" x14ac:dyDescent="0.3">
      <c r="B46" s="43"/>
      <c r="D46" s="44"/>
      <c r="F46" s="45"/>
      <c r="J46" s="41" t="str">
        <f t="shared" ca="1" si="1"/>
        <v/>
      </c>
      <c r="Q46" t="str">
        <f ca="1">IF(AND($A46&lt;&gt;"",ISNUMBER(J46),J46&gt;=0),COUNTIFS($J$4:$J$200,"&gt;=0",$J$4:$J$200,"&lt;"&amp;J46)+COUNTIF($J$4:J46,J46),"")</f>
        <v/>
      </c>
    </row>
    <row r="47" spans="2:17" x14ac:dyDescent="0.3">
      <c r="B47" s="43"/>
      <c r="D47" s="44"/>
      <c r="F47" s="45"/>
      <c r="J47" s="41" t="str">
        <f t="shared" ca="1" si="1"/>
        <v/>
      </c>
      <c r="Q47" t="str">
        <f ca="1">IF(AND($A47&lt;&gt;"",ISNUMBER(J47),J47&gt;=0),COUNTIFS($J$4:$J$200,"&gt;=0",$J$4:$J$200,"&lt;"&amp;J47)+COUNTIF($J$4:J47,J47),"")</f>
        <v/>
      </c>
    </row>
    <row r="48" spans="2:17" x14ac:dyDescent="0.3">
      <c r="B48" s="43"/>
      <c r="D48" s="44"/>
      <c r="F48" s="45"/>
      <c r="J48" s="41" t="str">
        <f t="shared" ca="1" si="1"/>
        <v/>
      </c>
      <c r="Q48" t="str">
        <f ca="1">IF(AND($A48&lt;&gt;"",ISNUMBER(J48),J48&gt;=0),COUNTIFS($J$4:$J$200,"&gt;=0",$J$4:$J$200,"&lt;"&amp;J48)+COUNTIF($J$4:J48,J48),"")</f>
        <v/>
      </c>
    </row>
    <row r="49" spans="2:17" x14ac:dyDescent="0.3">
      <c r="B49" s="43"/>
      <c r="D49" s="44"/>
      <c r="F49" s="45"/>
      <c r="J49" s="41" t="str">
        <f t="shared" ca="1" si="1"/>
        <v/>
      </c>
      <c r="Q49" t="str">
        <f ca="1">IF(AND($A49&lt;&gt;"",ISNUMBER(J49),J49&gt;=0),COUNTIFS($J$4:$J$200,"&gt;=0",$J$4:$J$200,"&lt;"&amp;J49)+COUNTIF($J$4:J49,J49),"")</f>
        <v/>
      </c>
    </row>
    <row r="50" spans="2:17" x14ac:dyDescent="0.3">
      <c r="B50" s="43"/>
      <c r="D50" s="44"/>
      <c r="F50" s="45"/>
      <c r="J50" s="41" t="str">
        <f t="shared" ca="1" si="1"/>
        <v/>
      </c>
      <c r="Q50" t="str">
        <f ca="1">IF(AND($A50&lt;&gt;"",ISNUMBER(J50),J50&gt;=0),COUNTIFS($J$4:$J$200,"&gt;=0",$J$4:$J$200,"&lt;"&amp;J50)+COUNTIF($J$4:J50,J50),"")</f>
        <v/>
      </c>
    </row>
    <row r="51" spans="2:17" x14ac:dyDescent="0.3">
      <c r="B51" s="43"/>
      <c r="D51" s="44"/>
      <c r="F51" s="45"/>
      <c r="J51" s="41" t="str">
        <f t="shared" ca="1" si="1"/>
        <v/>
      </c>
      <c r="Q51" t="str">
        <f ca="1">IF(AND($A51&lt;&gt;"",ISNUMBER(J51),J51&gt;=0),COUNTIFS($J$4:$J$200,"&gt;=0",$J$4:$J$200,"&lt;"&amp;J51)+COUNTIF($J$4:J51,J51),"")</f>
        <v/>
      </c>
    </row>
    <row r="52" spans="2:17" x14ac:dyDescent="0.3">
      <c r="B52" s="43"/>
      <c r="D52" s="44"/>
      <c r="F52" s="45"/>
      <c r="J52" s="41" t="str">
        <f t="shared" ca="1" si="1"/>
        <v/>
      </c>
      <c r="Q52" t="str">
        <f ca="1">IF(AND($A52&lt;&gt;"",ISNUMBER(J52),J52&gt;=0),COUNTIFS($J$4:$J$200,"&gt;=0",$J$4:$J$200,"&lt;"&amp;J52)+COUNTIF($J$4:J52,J52),"")</f>
        <v/>
      </c>
    </row>
    <row r="53" spans="2:17" x14ac:dyDescent="0.3">
      <c r="B53" s="43"/>
      <c r="D53" s="44"/>
      <c r="F53" s="45"/>
      <c r="J53" s="41" t="str">
        <f t="shared" ca="1" si="1"/>
        <v/>
      </c>
      <c r="Q53" t="str">
        <f ca="1">IF(AND($A53&lt;&gt;"",ISNUMBER(J53),J53&gt;=0),COUNTIFS($J$4:$J$200,"&gt;=0",$J$4:$J$200,"&lt;"&amp;J53)+COUNTIF($J$4:J53,J53),"")</f>
        <v/>
      </c>
    </row>
    <row r="54" spans="2:17" x14ac:dyDescent="0.3">
      <c r="B54" s="43"/>
      <c r="D54" s="44"/>
      <c r="F54" s="45"/>
      <c r="J54" s="41" t="str">
        <f t="shared" ca="1" si="1"/>
        <v/>
      </c>
      <c r="Q54" t="str">
        <f ca="1">IF(AND($A54&lt;&gt;"",ISNUMBER(J54),J54&gt;=0),COUNTIFS($J$4:$J$200,"&gt;=0",$J$4:$J$200,"&lt;"&amp;J54)+COUNTIF($J$4:J54,J54),"")</f>
        <v/>
      </c>
    </row>
    <row r="55" spans="2:17" x14ac:dyDescent="0.3">
      <c r="B55" s="43"/>
      <c r="D55" s="44"/>
      <c r="F55" s="45"/>
      <c r="J55" s="41" t="str">
        <f t="shared" ca="1" si="1"/>
        <v/>
      </c>
      <c r="Q55" t="str">
        <f ca="1">IF(AND($A55&lt;&gt;"",ISNUMBER(J55),J55&gt;=0),COUNTIFS($J$4:$J$200,"&gt;=0",$J$4:$J$200,"&lt;"&amp;J55)+COUNTIF($J$4:J55,J55),"")</f>
        <v/>
      </c>
    </row>
    <row r="56" spans="2:17" x14ac:dyDescent="0.3">
      <c r="B56" s="43"/>
      <c r="D56" s="44"/>
      <c r="F56" s="45"/>
      <c r="J56" s="41" t="str">
        <f t="shared" ca="1" si="1"/>
        <v/>
      </c>
      <c r="Q56" t="str">
        <f ca="1">IF(AND($A56&lt;&gt;"",ISNUMBER(J56),J56&gt;=0),COUNTIFS($J$4:$J$200,"&gt;=0",$J$4:$J$200,"&lt;"&amp;J56)+COUNTIF($J$4:J56,J56),"")</f>
        <v/>
      </c>
    </row>
    <row r="57" spans="2:17" x14ac:dyDescent="0.3">
      <c r="B57" s="43"/>
      <c r="D57" s="44"/>
      <c r="F57" s="45"/>
      <c r="J57" s="41" t="str">
        <f t="shared" ca="1" si="1"/>
        <v/>
      </c>
      <c r="Q57" t="str">
        <f ca="1">IF(AND($A57&lt;&gt;"",ISNUMBER(J57),J57&gt;=0),COUNTIFS($J$4:$J$200,"&gt;=0",$J$4:$J$200,"&lt;"&amp;J57)+COUNTIF($J$4:J57,J57),"")</f>
        <v/>
      </c>
    </row>
    <row r="58" spans="2:17" x14ac:dyDescent="0.3">
      <c r="B58" s="43"/>
      <c r="D58" s="44"/>
      <c r="F58" s="45"/>
      <c r="J58" s="41" t="str">
        <f t="shared" ca="1" si="1"/>
        <v/>
      </c>
      <c r="Q58" t="str">
        <f ca="1">IF(AND($A58&lt;&gt;"",ISNUMBER(J58),J58&gt;=0),COUNTIFS($J$4:$J$200,"&gt;=0",$J$4:$J$200,"&lt;"&amp;J58)+COUNTIF($J$4:J58,J58),"")</f>
        <v/>
      </c>
    </row>
    <row r="59" spans="2:17" x14ac:dyDescent="0.3">
      <c r="B59" s="43"/>
      <c r="D59" s="44"/>
      <c r="F59" s="45"/>
      <c r="J59" s="41" t="str">
        <f t="shared" ca="1" si="1"/>
        <v/>
      </c>
      <c r="Q59" t="str">
        <f ca="1">IF(AND($A59&lt;&gt;"",ISNUMBER(J59),J59&gt;=0),COUNTIFS($J$4:$J$200,"&gt;=0",$J$4:$J$200,"&lt;"&amp;J59)+COUNTIF($J$4:J59,J59),"")</f>
        <v/>
      </c>
    </row>
    <row r="60" spans="2:17" x14ac:dyDescent="0.3">
      <c r="B60" s="43"/>
      <c r="D60" s="44"/>
      <c r="F60" s="45"/>
      <c r="J60" s="41" t="str">
        <f t="shared" ca="1" si="1"/>
        <v/>
      </c>
      <c r="Q60" t="str">
        <f ca="1">IF(AND($A60&lt;&gt;"",ISNUMBER(J60),J60&gt;=0),COUNTIFS($J$4:$J$200,"&gt;=0",$J$4:$J$200,"&lt;"&amp;J60)+COUNTIF($J$4:J60,J60),"")</f>
        <v/>
      </c>
    </row>
    <row r="61" spans="2:17" x14ac:dyDescent="0.3">
      <c r="B61" s="43"/>
      <c r="D61" s="44"/>
      <c r="F61" s="45"/>
      <c r="J61" s="41" t="str">
        <f t="shared" ca="1" si="1"/>
        <v/>
      </c>
      <c r="Q61" t="str">
        <f ca="1">IF(AND($A61&lt;&gt;"",ISNUMBER(J61),J61&gt;=0),COUNTIFS($J$4:$J$200,"&gt;=0",$J$4:$J$200,"&lt;"&amp;J61)+COUNTIF($J$4:J61,J61),"")</f>
        <v/>
      </c>
    </row>
    <row r="62" spans="2:17" x14ac:dyDescent="0.3">
      <c r="B62" s="43"/>
      <c r="D62" s="44"/>
      <c r="F62" s="45"/>
      <c r="J62" s="41" t="str">
        <f t="shared" ca="1" si="1"/>
        <v/>
      </c>
      <c r="Q62" t="str">
        <f ca="1">IF(AND($A62&lt;&gt;"",ISNUMBER(J62),J62&gt;=0),COUNTIFS($J$4:$J$200,"&gt;=0",$J$4:$J$200,"&lt;"&amp;J62)+COUNTIF($J$4:J62,J62),"")</f>
        <v/>
      </c>
    </row>
    <row r="63" spans="2:17" x14ac:dyDescent="0.3">
      <c r="B63" s="43"/>
      <c r="D63" s="44"/>
      <c r="F63" s="45"/>
      <c r="J63" s="41" t="str">
        <f t="shared" ca="1" si="1"/>
        <v/>
      </c>
      <c r="Q63" t="str">
        <f ca="1">IF(AND($A63&lt;&gt;"",ISNUMBER(J63),J63&gt;=0),COUNTIFS($J$4:$J$200,"&gt;=0",$J$4:$J$200,"&lt;"&amp;J63)+COUNTIF($J$4:J63,J63),"")</f>
        <v/>
      </c>
    </row>
    <row r="64" spans="2:17" x14ac:dyDescent="0.3">
      <c r="B64" s="43"/>
      <c r="D64" s="44"/>
      <c r="F64" s="45"/>
      <c r="J64" s="41" t="str">
        <f t="shared" ca="1" si="1"/>
        <v/>
      </c>
      <c r="Q64" t="str">
        <f ca="1">IF(AND($A64&lt;&gt;"",ISNUMBER(J64),J64&gt;=0),COUNTIFS($J$4:$J$200,"&gt;=0",$J$4:$J$200,"&lt;"&amp;J64)+COUNTIF($J$4:J64,J64),"")</f>
        <v/>
      </c>
    </row>
    <row r="65" spans="2:17" x14ac:dyDescent="0.3">
      <c r="B65" s="43"/>
      <c r="D65" s="44"/>
      <c r="F65" s="45"/>
      <c r="J65" s="41" t="str">
        <f t="shared" ca="1" si="1"/>
        <v/>
      </c>
      <c r="Q65" t="str">
        <f ca="1">IF(AND($A65&lt;&gt;"",ISNUMBER(J65),J65&gt;=0),COUNTIFS($J$4:$J$200,"&gt;=0",$J$4:$J$200,"&lt;"&amp;J65)+COUNTIF($J$4:J65,J65),"")</f>
        <v/>
      </c>
    </row>
    <row r="66" spans="2:17" x14ac:dyDescent="0.3">
      <c r="B66" s="43"/>
      <c r="D66" s="44"/>
      <c r="F66" s="45"/>
      <c r="J66" s="41" t="str">
        <f t="shared" ca="1" si="1"/>
        <v/>
      </c>
      <c r="Q66" t="str">
        <f ca="1">IF(AND($A66&lt;&gt;"",ISNUMBER(J66),J66&gt;=0),COUNTIFS($J$4:$J$200,"&gt;=0",$J$4:$J$200,"&lt;"&amp;J66)+COUNTIF($J$4:J66,J66),"")</f>
        <v/>
      </c>
    </row>
    <row r="67" spans="2:17" x14ac:dyDescent="0.3">
      <c r="B67" s="43"/>
      <c r="D67" s="44"/>
      <c r="F67" s="45"/>
      <c r="J67" s="41" t="str">
        <f t="shared" ca="1" si="1"/>
        <v/>
      </c>
      <c r="Q67" t="str">
        <f ca="1">IF(AND($A67&lt;&gt;"",ISNUMBER(J67),J67&gt;=0),COUNTIFS($J$4:$J$200,"&gt;=0",$J$4:$J$200,"&lt;"&amp;J67)+COUNTIF($J$4:J67,J67),"")</f>
        <v/>
      </c>
    </row>
    <row r="68" spans="2:17" x14ac:dyDescent="0.3">
      <c r="B68" s="43"/>
      <c r="D68" s="44"/>
      <c r="F68" s="45"/>
      <c r="J68" s="41" t="str">
        <f t="shared" ref="J68:J99" ca="1" si="2">IF(I68="","",I68-TODAY())</f>
        <v/>
      </c>
      <c r="Q68" t="str">
        <f ca="1">IF(AND($A68&lt;&gt;"",ISNUMBER(J68),J68&gt;=0),COUNTIFS($J$4:$J$200,"&gt;=0",$J$4:$J$200,"&lt;"&amp;J68)+COUNTIF($J$4:J68,J68),"")</f>
        <v/>
      </c>
    </row>
    <row r="69" spans="2:17" x14ac:dyDescent="0.3">
      <c r="B69" s="43"/>
      <c r="D69" s="44"/>
      <c r="F69" s="45"/>
      <c r="J69" s="41" t="str">
        <f t="shared" ca="1" si="2"/>
        <v/>
      </c>
      <c r="Q69" t="str">
        <f ca="1">IF(AND($A69&lt;&gt;"",ISNUMBER(J69),J69&gt;=0),COUNTIFS($J$4:$J$200,"&gt;=0",$J$4:$J$200,"&lt;"&amp;J69)+COUNTIF($J$4:J69,J69),"")</f>
        <v/>
      </c>
    </row>
    <row r="70" spans="2:17" x14ac:dyDescent="0.3">
      <c r="B70" s="43"/>
      <c r="D70" s="44"/>
      <c r="F70" s="45"/>
      <c r="J70" s="41" t="str">
        <f t="shared" ca="1" si="2"/>
        <v/>
      </c>
      <c r="Q70" t="str">
        <f ca="1">IF(AND($A70&lt;&gt;"",ISNUMBER(J70),J70&gt;=0),COUNTIFS($J$4:$J$200,"&gt;=0",$J$4:$J$200,"&lt;"&amp;J70)+COUNTIF($J$4:J70,J70),"")</f>
        <v/>
      </c>
    </row>
    <row r="71" spans="2:17" x14ac:dyDescent="0.3">
      <c r="B71" s="43"/>
      <c r="D71" s="44"/>
      <c r="F71" s="45"/>
      <c r="J71" s="41" t="str">
        <f t="shared" ca="1" si="2"/>
        <v/>
      </c>
      <c r="Q71" t="str">
        <f ca="1">IF(AND($A71&lt;&gt;"",ISNUMBER(J71),J71&gt;=0),COUNTIFS($J$4:$J$200,"&gt;=0",$J$4:$J$200,"&lt;"&amp;J71)+COUNTIF($J$4:J71,J71),"")</f>
        <v/>
      </c>
    </row>
    <row r="72" spans="2:17" x14ac:dyDescent="0.3">
      <c r="B72" s="43"/>
      <c r="D72" s="44"/>
      <c r="F72" s="45"/>
      <c r="J72" s="41" t="str">
        <f t="shared" ca="1" si="2"/>
        <v/>
      </c>
      <c r="Q72" t="str">
        <f ca="1">IF(AND($A72&lt;&gt;"",ISNUMBER(J72),J72&gt;=0),COUNTIFS($J$4:$J$200,"&gt;=0",$J$4:$J$200,"&lt;"&amp;J72)+COUNTIF($J$4:J72,J72),"")</f>
        <v/>
      </c>
    </row>
    <row r="73" spans="2:17" x14ac:dyDescent="0.3">
      <c r="B73" s="43"/>
      <c r="D73" s="44"/>
      <c r="F73" s="45"/>
      <c r="J73" s="41" t="str">
        <f t="shared" ca="1" si="2"/>
        <v/>
      </c>
      <c r="Q73" t="str">
        <f ca="1">IF(AND($A73&lt;&gt;"",ISNUMBER(J73),J73&gt;=0),COUNTIFS($J$4:$J$200,"&gt;=0",$J$4:$J$200,"&lt;"&amp;J73)+COUNTIF($J$4:J73,J73),"")</f>
        <v/>
      </c>
    </row>
    <row r="74" spans="2:17" x14ac:dyDescent="0.3">
      <c r="B74" s="43"/>
      <c r="D74" s="44"/>
      <c r="F74" s="45"/>
      <c r="J74" s="41" t="str">
        <f t="shared" ca="1" si="2"/>
        <v/>
      </c>
      <c r="Q74" t="str">
        <f ca="1">IF(AND($A74&lt;&gt;"",ISNUMBER(J74),J74&gt;=0),COUNTIFS($J$4:$J$200,"&gt;=0",$J$4:$J$200,"&lt;"&amp;J74)+COUNTIF($J$4:J74,J74),"")</f>
        <v/>
      </c>
    </row>
    <row r="75" spans="2:17" x14ac:dyDescent="0.3">
      <c r="B75" s="43"/>
      <c r="D75" s="44"/>
      <c r="F75" s="45"/>
      <c r="J75" s="41" t="str">
        <f t="shared" ca="1" si="2"/>
        <v/>
      </c>
      <c r="Q75" t="str">
        <f ca="1">IF(AND($A75&lt;&gt;"",ISNUMBER(J75),J75&gt;=0),COUNTIFS($J$4:$J$200,"&gt;=0",$J$4:$J$200,"&lt;"&amp;J75)+COUNTIF($J$4:J75,J75),"")</f>
        <v/>
      </c>
    </row>
    <row r="76" spans="2:17" x14ac:dyDescent="0.3">
      <c r="B76" s="43"/>
      <c r="D76" s="44"/>
      <c r="F76" s="45"/>
      <c r="J76" s="41" t="str">
        <f t="shared" ca="1" si="2"/>
        <v/>
      </c>
      <c r="Q76" t="str">
        <f ca="1">IF(AND($A76&lt;&gt;"",ISNUMBER(J76),J76&gt;=0),COUNTIFS($J$4:$J$200,"&gt;=0",$J$4:$J$200,"&lt;"&amp;J76)+COUNTIF($J$4:J76,J76),"")</f>
        <v/>
      </c>
    </row>
    <row r="77" spans="2:17" x14ac:dyDescent="0.3">
      <c r="B77" s="43"/>
      <c r="D77" s="44"/>
      <c r="F77" s="45"/>
      <c r="J77" s="41" t="str">
        <f t="shared" ca="1" si="2"/>
        <v/>
      </c>
      <c r="Q77" t="str">
        <f ca="1">IF(AND($A77&lt;&gt;"",ISNUMBER(J77),J77&gt;=0),COUNTIFS($J$4:$J$200,"&gt;=0",$J$4:$J$200,"&lt;"&amp;J77)+COUNTIF($J$4:J77,J77),"")</f>
        <v/>
      </c>
    </row>
    <row r="78" spans="2:17" x14ac:dyDescent="0.3">
      <c r="B78" s="43"/>
      <c r="D78" s="44"/>
      <c r="F78" s="45"/>
      <c r="J78" s="41" t="str">
        <f t="shared" ca="1" si="2"/>
        <v/>
      </c>
      <c r="Q78" t="str">
        <f ca="1">IF(AND($A78&lt;&gt;"",ISNUMBER(J78),J78&gt;=0),COUNTIFS($J$4:$J$200,"&gt;=0",$J$4:$J$200,"&lt;"&amp;J78)+COUNTIF($J$4:J78,J78),"")</f>
        <v/>
      </c>
    </row>
    <row r="79" spans="2:17" x14ac:dyDescent="0.3">
      <c r="B79" s="43"/>
      <c r="D79" s="44"/>
      <c r="F79" s="45"/>
      <c r="J79" s="41" t="str">
        <f t="shared" ca="1" si="2"/>
        <v/>
      </c>
      <c r="Q79" t="str">
        <f ca="1">IF(AND($A79&lt;&gt;"",ISNUMBER(J79),J79&gt;=0),COUNTIFS($J$4:$J$200,"&gt;=0",$J$4:$J$200,"&lt;"&amp;J79)+COUNTIF($J$4:J79,J79),"")</f>
        <v/>
      </c>
    </row>
    <row r="80" spans="2:17" x14ac:dyDescent="0.3">
      <c r="B80" s="43"/>
      <c r="D80" s="44"/>
      <c r="F80" s="45"/>
      <c r="J80" s="41" t="str">
        <f t="shared" ca="1" si="2"/>
        <v/>
      </c>
      <c r="Q80" t="str">
        <f ca="1">IF(AND($A80&lt;&gt;"",ISNUMBER(J80),J80&gt;=0),COUNTIFS($J$4:$J$200,"&gt;=0",$J$4:$J$200,"&lt;"&amp;J80)+COUNTIF($J$4:J80,J80),"")</f>
        <v/>
      </c>
    </row>
    <row r="81" spans="2:17" x14ac:dyDescent="0.3">
      <c r="B81" s="43"/>
      <c r="D81" s="44"/>
      <c r="F81" s="45"/>
      <c r="J81" s="41" t="str">
        <f t="shared" ca="1" si="2"/>
        <v/>
      </c>
      <c r="Q81" t="str">
        <f ca="1">IF(AND($A81&lt;&gt;"",ISNUMBER(J81),J81&gt;=0),COUNTIFS($J$4:$J$200,"&gt;=0",$J$4:$J$200,"&lt;"&amp;J81)+COUNTIF($J$4:J81,J81),"")</f>
        <v/>
      </c>
    </row>
    <row r="82" spans="2:17" x14ac:dyDescent="0.3">
      <c r="B82" s="43"/>
      <c r="D82" s="44"/>
      <c r="F82" s="45"/>
      <c r="J82" s="41" t="str">
        <f t="shared" ca="1" si="2"/>
        <v/>
      </c>
      <c r="Q82" t="str">
        <f ca="1">IF(AND($A82&lt;&gt;"",ISNUMBER(J82),J82&gt;=0),COUNTIFS($J$4:$J$200,"&gt;=0",$J$4:$J$200,"&lt;"&amp;J82)+COUNTIF($J$4:J82,J82),"")</f>
        <v/>
      </c>
    </row>
    <row r="83" spans="2:17" x14ac:dyDescent="0.3">
      <c r="B83" s="43"/>
      <c r="D83" s="44"/>
      <c r="F83" s="45"/>
      <c r="J83" s="41" t="str">
        <f t="shared" ca="1" si="2"/>
        <v/>
      </c>
      <c r="Q83" t="str">
        <f ca="1">IF(AND($A83&lt;&gt;"",ISNUMBER(J83),J83&gt;=0),COUNTIFS($J$4:$J$200,"&gt;=0",$J$4:$J$200,"&lt;"&amp;J83)+COUNTIF($J$4:J83,J83),"")</f>
        <v/>
      </c>
    </row>
    <row r="84" spans="2:17" x14ac:dyDescent="0.3">
      <c r="B84" s="43"/>
      <c r="D84" s="44"/>
      <c r="F84" s="45"/>
      <c r="J84" s="41" t="str">
        <f t="shared" ca="1" si="2"/>
        <v/>
      </c>
      <c r="Q84" t="str">
        <f ca="1">IF(AND($A84&lt;&gt;"",ISNUMBER(J84),J84&gt;=0),COUNTIFS($J$4:$J$200,"&gt;=0",$J$4:$J$200,"&lt;"&amp;J84)+COUNTIF($J$4:J84,J84),"")</f>
        <v/>
      </c>
    </row>
    <row r="85" spans="2:17" x14ac:dyDescent="0.3">
      <c r="B85" s="43"/>
      <c r="D85" s="44"/>
      <c r="F85" s="45"/>
      <c r="J85" s="41" t="str">
        <f t="shared" ca="1" si="2"/>
        <v/>
      </c>
      <c r="Q85" t="str">
        <f ca="1">IF(AND($A85&lt;&gt;"",ISNUMBER(J85),J85&gt;=0),COUNTIFS($J$4:$J$200,"&gt;=0",$J$4:$J$200,"&lt;"&amp;J85)+COUNTIF($J$4:J85,J85),"")</f>
        <v/>
      </c>
    </row>
    <row r="86" spans="2:17" x14ac:dyDescent="0.3">
      <c r="B86" s="43"/>
      <c r="D86" s="44"/>
      <c r="F86" s="45"/>
      <c r="J86" s="41" t="str">
        <f t="shared" ca="1" si="2"/>
        <v/>
      </c>
      <c r="Q86" t="str">
        <f ca="1">IF(AND($A86&lt;&gt;"",ISNUMBER(J86),J86&gt;=0),COUNTIFS($J$4:$J$200,"&gt;=0",$J$4:$J$200,"&lt;"&amp;J86)+COUNTIF($J$4:J86,J86),"")</f>
        <v/>
      </c>
    </row>
    <row r="87" spans="2:17" x14ac:dyDescent="0.3">
      <c r="B87" s="43"/>
      <c r="D87" s="44"/>
      <c r="F87" s="45"/>
      <c r="J87" s="41" t="str">
        <f t="shared" ca="1" si="2"/>
        <v/>
      </c>
      <c r="Q87" t="str">
        <f ca="1">IF(AND($A87&lt;&gt;"",ISNUMBER(J87),J87&gt;=0),COUNTIFS($J$4:$J$200,"&gt;=0",$J$4:$J$200,"&lt;"&amp;J87)+COUNTIF($J$4:J87,J87),"")</f>
        <v/>
      </c>
    </row>
    <row r="88" spans="2:17" x14ac:dyDescent="0.3">
      <c r="B88" s="43"/>
      <c r="D88" s="44"/>
      <c r="F88" s="45"/>
      <c r="J88" s="41" t="str">
        <f t="shared" ca="1" si="2"/>
        <v/>
      </c>
      <c r="Q88" t="str">
        <f ca="1">IF(AND($A88&lt;&gt;"",ISNUMBER(J88),J88&gt;=0),COUNTIFS($J$4:$J$200,"&gt;=0",$J$4:$J$200,"&lt;"&amp;J88)+COUNTIF($J$4:J88,J88),"")</f>
        <v/>
      </c>
    </row>
    <row r="89" spans="2:17" x14ac:dyDescent="0.3">
      <c r="B89" s="43"/>
      <c r="D89" s="44"/>
      <c r="F89" s="45"/>
      <c r="J89" s="41" t="str">
        <f t="shared" ca="1" si="2"/>
        <v/>
      </c>
      <c r="Q89" t="str">
        <f ca="1">IF(AND($A89&lt;&gt;"",ISNUMBER(J89),J89&gt;=0),COUNTIFS($J$4:$J$200,"&gt;=0",$J$4:$J$200,"&lt;"&amp;J89)+COUNTIF($J$4:J89,J89),"")</f>
        <v/>
      </c>
    </row>
    <row r="90" spans="2:17" x14ac:dyDescent="0.3">
      <c r="B90" s="43"/>
      <c r="D90" s="44"/>
      <c r="F90" s="45"/>
      <c r="J90" s="41" t="str">
        <f t="shared" ca="1" si="2"/>
        <v/>
      </c>
      <c r="Q90" t="str">
        <f ca="1">IF(AND($A90&lt;&gt;"",ISNUMBER(J90),J90&gt;=0),COUNTIFS($J$4:$J$200,"&gt;=0",$J$4:$J$200,"&lt;"&amp;J90)+COUNTIF($J$4:J90,J90),"")</f>
        <v/>
      </c>
    </row>
    <row r="91" spans="2:17" x14ac:dyDescent="0.3">
      <c r="B91" s="43"/>
      <c r="D91" s="44"/>
      <c r="F91" s="45"/>
      <c r="J91" s="41" t="str">
        <f t="shared" ca="1" si="2"/>
        <v/>
      </c>
      <c r="Q91" t="str">
        <f ca="1">IF(AND($A91&lt;&gt;"",ISNUMBER(J91),J91&gt;=0),COUNTIFS($J$4:$J$200,"&gt;=0",$J$4:$J$200,"&lt;"&amp;J91)+COUNTIF($J$4:J91,J91),"")</f>
        <v/>
      </c>
    </row>
    <row r="92" spans="2:17" x14ac:dyDescent="0.3">
      <c r="B92" s="43"/>
      <c r="D92" s="44"/>
      <c r="F92" s="45"/>
      <c r="J92" s="41" t="str">
        <f t="shared" ca="1" si="2"/>
        <v/>
      </c>
      <c r="Q92" t="str">
        <f ca="1">IF(AND($A92&lt;&gt;"",ISNUMBER(J92),J92&gt;=0),COUNTIFS($J$4:$J$200,"&gt;=0",$J$4:$J$200,"&lt;"&amp;J92)+COUNTIF($J$4:J92,J92),"")</f>
        <v/>
      </c>
    </row>
    <row r="93" spans="2:17" x14ac:dyDescent="0.3">
      <c r="B93" s="43"/>
      <c r="D93" s="44"/>
      <c r="F93" s="45"/>
      <c r="J93" s="41" t="str">
        <f t="shared" ca="1" si="2"/>
        <v/>
      </c>
      <c r="Q93" t="str">
        <f ca="1">IF(AND($A93&lt;&gt;"",ISNUMBER(J93),J93&gt;=0),COUNTIFS($J$4:$J$200,"&gt;=0",$J$4:$J$200,"&lt;"&amp;J93)+COUNTIF($J$4:J93,J93),"")</f>
        <v/>
      </c>
    </row>
    <row r="94" spans="2:17" x14ac:dyDescent="0.3">
      <c r="B94" s="43"/>
      <c r="D94" s="44"/>
      <c r="F94" s="45"/>
      <c r="J94" s="41" t="str">
        <f t="shared" ca="1" si="2"/>
        <v/>
      </c>
      <c r="Q94" t="str">
        <f ca="1">IF(AND($A94&lt;&gt;"",ISNUMBER(J94),J94&gt;=0),COUNTIFS($J$4:$J$200,"&gt;=0",$J$4:$J$200,"&lt;"&amp;J94)+COUNTIF($J$4:J94,J94),"")</f>
        <v/>
      </c>
    </row>
    <row r="95" spans="2:17" x14ac:dyDescent="0.3">
      <c r="B95" s="43"/>
      <c r="D95" s="44"/>
      <c r="F95" s="45"/>
      <c r="J95" s="41" t="str">
        <f t="shared" ca="1" si="2"/>
        <v/>
      </c>
      <c r="Q95" t="str">
        <f ca="1">IF(AND($A95&lt;&gt;"",ISNUMBER(J95),J95&gt;=0),COUNTIFS($J$4:$J$200,"&gt;=0",$J$4:$J$200,"&lt;"&amp;J95)+COUNTIF($J$4:J95,J95),"")</f>
        <v/>
      </c>
    </row>
    <row r="96" spans="2:17" x14ac:dyDescent="0.3">
      <c r="B96" s="43"/>
      <c r="D96" s="44"/>
      <c r="F96" s="45"/>
      <c r="J96" s="41" t="str">
        <f t="shared" ca="1" si="2"/>
        <v/>
      </c>
      <c r="Q96" t="str">
        <f ca="1">IF(AND($A96&lt;&gt;"",ISNUMBER(J96),J96&gt;=0),COUNTIFS($J$4:$J$200,"&gt;=0",$J$4:$J$200,"&lt;"&amp;J96)+COUNTIF($J$4:J96,J96),"")</f>
        <v/>
      </c>
    </row>
    <row r="97" spans="2:17" x14ac:dyDescent="0.3">
      <c r="B97" s="43"/>
      <c r="D97" s="44"/>
      <c r="F97" s="45"/>
      <c r="J97" s="41" t="str">
        <f t="shared" ca="1" si="2"/>
        <v/>
      </c>
      <c r="Q97" t="str">
        <f ca="1">IF(AND($A97&lt;&gt;"",ISNUMBER(J97),J97&gt;=0),COUNTIFS($J$4:$J$200,"&gt;=0",$J$4:$J$200,"&lt;"&amp;J97)+COUNTIF($J$4:J97,J97),"")</f>
        <v/>
      </c>
    </row>
    <row r="98" spans="2:17" x14ac:dyDescent="0.3">
      <c r="B98" s="43"/>
      <c r="D98" s="44"/>
      <c r="F98" s="45"/>
      <c r="J98" s="41" t="str">
        <f t="shared" ca="1" si="2"/>
        <v/>
      </c>
      <c r="Q98" t="str">
        <f ca="1">IF(AND($A98&lt;&gt;"",ISNUMBER(J98),J98&gt;=0),COUNTIFS($J$4:$J$200,"&gt;=0",$J$4:$J$200,"&lt;"&amp;J98)+COUNTIF($J$4:J98,J98),"")</f>
        <v/>
      </c>
    </row>
    <row r="99" spans="2:17" x14ac:dyDescent="0.3">
      <c r="B99" s="43"/>
      <c r="D99" s="44"/>
      <c r="F99" s="45"/>
      <c r="J99" s="41" t="str">
        <f t="shared" ca="1" si="2"/>
        <v/>
      </c>
      <c r="Q99" t="str">
        <f ca="1">IF(AND($A99&lt;&gt;"",ISNUMBER(J99),J99&gt;=0),COUNTIFS($J$4:$J$200,"&gt;=0",$J$4:$J$200,"&lt;"&amp;J99)+COUNTIF($J$4:J99,J99),"")</f>
        <v/>
      </c>
    </row>
    <row r="100" spans="2:17" x14ac:dyDescent="0.3">
      <c r="B100" s="43"/>
      <c r="D100" s="44"/>
      <c r="F100" s="45"/>
      <c r="J100" s="41" t="str">
        <f t="shared" ref="J100:J131" ca="1" si="3">IF(I100="","",I100-TODAY())</f>
        <v/>
      </c>
      <c r="Q100" t="str">
        <f ca="1">IF(AND($A100&lt;&gt;"",ISNUMBER(J100),J100&gt;=0),COUNTIFS($J$4:$J$200,"&gt;=0",$J$4:$J$200,"&lt;"&amp;J100)+COUNTIF($J$4:J100,J100),"")</f>
        <v/>
      </c>
    </row>
    <row r="101" spans="2:17" x14ac:dyDescent="0.3">
      <c r="B101" s="43"/>
      <c r="D101" s="44"/>
      <c r="F101" s="45"/>
      <c r="J101" s="41" t="str">
        <f t="shared" ca="1" si="3"/>
        <v/>
      </c>
      <c r="Q101" t="str">
        <f ca="1">IF(AND($A101&lt;&gt;"",ISNUMBER(J101),J101&gt;=0),COUNTIFS($J$4:$J$200,"&gt;=0",$J$4:$J$200,"&lt;"&amp;J101)+COUNTIF($J$4:J101,J101),"")</f>
        <v/>
      </c>
    </row>
    <row r="102" spans="2:17" x14ac:dyDescent="0.3">
      <c r="B102" s="43"/>
      <c r="D102" s="44"/>
      <c r="F102" s="45"/>
      <c r="J102" s="41" t="str">
        <f t="shared" ca="1" si="3"/>
        <v/>
      </c>
      <c r="Q102" t="str">
        <f ca="1">IF(AND($A102&lt;&gt;"",ISNUMBER(J102),J102&gt;=0),COUNTIFS($J$4:$J$200,"&gt;=0",$J$4:$J$200,"&lt;"&amp;J102)+COUNTIF($J$4:J102,J102),"")</f>
        <v/>
      </c>
    </row>
    <row r="103" spans="2:17" x14ac:dyDescent="0.3">
      <c r="B103" s="43"/>
      <c r="D103" s="44"/>
      <c r="F103" s="45"/>
      <c r="J103" s="41" t="str">
        <f t="shared" ca="1" si="3"/>
        <v/>
      </c>
      <c r="Q103" t="str">
        <f ca="1">IF(AND($A103&lt;&gt;"",ISNUMBER(J103),J103&gt;=0),COUNTIFS($J$4:$J$200,"&gt;=0",$J$4:$J$200,"&lt;"&amp;J103)+COUNTIF($J$4:J103,J103),"")</f>
        <v/>
      </c>
    </row>
    <row r="104" spans="2:17" x14ac:dyDescent="0.3">
      <c r="B104" s="43"/>
      <c r="D104" s="44"/>
      <c r="F104" s="45"/>
      <c r="J104" s="41" t="str">
        <f t="shared" ca="1" si="3"/>
        <v/>
      </c>
      <c r="Q104" t="str">
        <f ca="1">IF(AND($A104&lt;&gt;"",ISNUMBER(J104),J104&gt;=0),COUNTIFS($J$4:$J$200,"&gt;=0",$J$4:$J$200,"&lt;"&amp;J104)+COUNTIF($J$4:J104,J104),"")</f>
        <v/>
      </c>
    </row>
    <row r="105" spans="2:17" x14ac:dyDescent="0.3">
      <c r="B105" s="43"/>
      <c r="D105" s="44"/>
      <c r="F105" s="45"/>
      <c r="J105" s="41" t="str">
        <f t="shared" ca="1" si="3"/>
        <v/>
      </c>
      <c r="Q105" t="str">
        <f ca="1">IF(AND($A105&lt;&gt;"",ISNUMBER(J105),J105&gt;=0),COUNTIFS($J$4:$J$200,"&gt;=0",$J$4:$J$200,"&lt;"&amp;J105)+COUNTIF($J$4:J105,J105),"")</f>
        <v/>
      </c>
    </row>
    <row r="106" spans="2:17" x14ac:dyDescent="0.3">
      <c r="B106" s="43"/>
      <c r="D106" s="44"/>
      <c r="F106" s="45"/>
      <c r="J106" s="41" t="str">
        <f t="shared" ca="1" si="3"/>
        <v/>
      </c>
      <c r="Q106" t="str">
        <f ca="1">IF(AND($A106&lt;&gt;"",ISNUMBER(J106),J106&gt;=0),COUNTIFS($J$4:$J$200,"&gt;=0",$J$4:$J$200,"&lt;"&amp;J106)+COUNTIF($J$4:J106,J106),"")</f>
        <v/>
      </c>
    </row>
    <row r="107" spans="2:17" x14ac:dyDescent="0.3">
      <c r="B107" s="43"/>
      <c r="D107" s="44"/>
      <c r="F107" s="45"/>
      <c r="J107" s="41" t="str">
        <f t="shared" ca="1" si="3"/>
        <v/>
      </c>
      <c r="Q107" t="str">
        <f ca="1">IF(AND($A107&lt;&gt;"",ISNUMBER(J107),J107&gt;=0),COUNTIFS($J$4:$J$200,"&gt;=0",$J$4:$J$200,"&lt;"&amp;J107)+COUNTIF($J$4:J107,J107),"")</f>
        <v/>
      </c>
    </row>
    <row r="108" spans="2:17" x14ac:dyDescent="0.3">
      <c r="B108" s="43"/>
      <c r="D108" s="44"/>
      <c r="F108" s="45"/>
      <c r="J108" s="41" t="str">
        <f t="shared" ca="1" si="3"/>
        <v/>
      </c>
      <c r="Q108" t="str">
        <f ca="1">IF(AND($A108&lt;&gt;"",ISNUMBER(J108),J108&gt;=0),COUNTIFS($J$4:$J$200,"&gt;=0",$J$4:$J$200,"&lt;"&amp;J108)+COUNTIF($J$4:J108,J108),"")</f>
        <v/>
      </c>
    </row>
    <row r="109" spans="2:17" x14ac:dyDescent="0.3">
      <c r="B109" s="43"/>
      <c r="D109" s="44"/>
      <c r="F109" s="45"/>
      <c r="J109" s="41" t="str">
        <f t="shared" ca="1" si="3"/>
        <v/>
      </c>
      <c r="Q109" t="str">
        <f ca="1">IF(AND($A109&lt;&gt;"",ISNUMBER(J109),J109&gt;=0),COUNTIFS($J$4:$J$200,"&gt;=0",$J$4:$J$200,"&lt;"&amp;J109)+COUNTIF($J$4:J109,J109),"")</f>
        <v/>
      </c>
    </row>
    <row r="110" spans="2:17" x14ac:dyDescent="0.3">
      <c r="B110" s="43"/>
      <c r="D110" s="44"/>
      <c r="F110" s="45"/>
      <c r="J110" s="41" t="str">
        <f t="shared" ca="1" si="3"/>
        <v/>
      </c>
      <c r="Q110" t="str">
        <f ca="1">IF(AND($A110&lt;&gt;"",ISNUMBER(J110),J110&gt;=0),COUNTIFS($J$4:$J$200,"&gt;=0",$J$4:$J$200,"&lt;"&amp;J110)+COUNTIF($J$4:J110,J110),"")</f>
        <v/>
      </c>
    </row>
    <row r="111" spans="2:17" x14ac:dyDescent="0.3">
      <c r="B111" s="43"/>
      <c r="D111" s="44"/>
      <c r="F111" s="45"/>
      <c r="J111" s="41" t="str">
        <f t="shared" ca="1" si="3"/>
        <v/>
      </c>
      <c r="Q111" t="str">
        <f ca="1">IF(AND($A111&lt;&gt;"",ISNUMBER(J111),J111&gt;=0),COUNTIFS($J$4:$J$200,"&gt;=0",$J$4:$J$200,"&lt;"&amp;J111)+COUNTIF($J$4:J111,J111),"")</f>
        <v/>
      </c>
    </row>
    <row r="112" spans="2:17" x14ac:dyDescent="0.3">
      <c r="B112" s="43"/>
      <c r="D112" s="44"/>
      <c r="F112" s="45"/>
      <c r="J112" s="41" t="str">
        <f t="shared" ca="1" si="3"/>
        <v/>
      </c>
      <c r="Q112" t="str">
        <f ca="1">IF(AND($A112&lt;&gt;"",ISNUMBER(J112),J112&gt;=0),COUNTIFS($J$4:$J$200,"&gt;=0",$J$4:$J$200,"&lt;"&amp;J112)+COUNTIF($J$4:J112,J112),"")</f>
        <v/>
      </c>
    </row>
    <row r="113" spans="2:17" x14ac:dyDescent="0.3">
      <c r="B113" s="43"/>
      <c r="D113" s="44"/>
      <c r="F113" s="45"/>
      <c r="J113" s="41" t="str">
        <f t="shared" ca="1" si="3"/>
        <v/>
      </c>
      <c r="Q113" t="str">
        <f ca="1">IF(AND($A113&lt;&gt;"",ISNUMBER(J113),J113&gt;=0),COUNTIFS($J$4:$J$200,"&gt;=0",$J$4:$J$200,"&lt;"&amp;J113)+COUNTIF($J$4:J113,J113),"")</f>
        <v/>
      </c>
    </row>
    <row r="114" spans="2:17" x14ac:dyDescent="0.3">
      <c r="B114" s="43"/>
      <c r="D114" s="44"/>
      <c r="F114" s="45"/>
      <c r="J114" s="41" t="str">
        <f t="shared" ca="1" si="3"/>
        <v/>
      </c>
      <c r="Q114" t="str">
        <f ca="1">IF(AND($A114&lt;&gt;"",ISNUMBER(J114),J114&gt;=0),COUNTIFS($J$4:$J$200,"&gt;=0",$J$4:$J$200,"&lt;"&amp;J114)+COUNTIF($J$4:J114,J114),"")</f>
        <v/>
      </c>
    </row>
    <row r="115" spans="2:17" x14ac:dyDescent="0.3">
      <c r="B115" s="43"/>
      <c r="D115" s="44"/>
      <c r="F115" s="45"/>
      <c r="J115" s="41" t="str">
        <f t="shared" ca="1" si="3"/>
        <v/>
      </c>
      <c r="Q115" t="str">
        <f ca="1">IF(AND($A115&lt;&gt;"",ISNUMBER(J115),J115&gt;=0),COUNTIFS($J$4:$J$200,"&gt;=0",$J$4:$J$200,"&lt;"&amp;J115)+COUNTIF($J$4:J115,J115),"")</f>
        <v/>
      </c>
    </row>
    <row r="116" spans="2:17" x14ac:dyDescent="0.3">
      <c r="B116" s="43"/>
      <c r="D116" s="44"/>
      <c r="F116" s="45"/>
      <c r="J116" s="41" t="str">
        <f t="shared" ca="1" si="3"/>
        <v/>
      </c>
      <c r="Q116" t="str">
        <f ca="1">IF(AND($A116&lt;&gt;"",ISNUMBER(J116),J116&gt;=0),COUNTIFS($J$4:$J$200,"&gt;=0",$J$4:$J$200,"&lt;"&amp;J116)+COUNTIF($J$4:J116,J116),"")</f>
        <v/>
      </c>
    </row>
    <row r="117" spans="2:17" x14ac:dyDescent="0.3">
      <c r="B117" s="43"/>
      <c r="D117" s="44"/>
      <c r="F117" s="45"/>
      <c r="J117" s="41" t="str">
        <f t="shared" ca="1" si="3"/>
        <v/>
      </c>
      <c r="Q117" t="str">
        <f ca="1">IF(AND($A117&lt;&gt;"",ISNUMBER(J117),J117&gt;=0),COUNTIFS($J$4:$J$200,"&gt;=0",$J$4:$J$200,"&lt;"&amp;J117)+COUNTIF($J$4:J117,J117),"")</f>
        <v/>
      </c>
    </row>
    <row r="118" spans="2:17" x14ac:dyDescent="0.3">
      <c r="B118" s="43"/>
      <c r="D118" s="44"/>
      <c r="F118" s="45"/>
      <c r="J118" s="41" t="str">
        <f t="shared" ca="1" si="3"/>
        <v/>
      </c>
      <c r="Q118" t="str">
        <f ca="1">IF(AND($A118&lt;&gt;"",ISNUMBER(J118),J118&gt;=0),COUNTIFS($J$4:$J$200,"&gt;=0",$J$4:$J$200,"&lt;"&amp;J118)+COUNTIF($J$4:J118,J118),"")</f>
        <v/>
      </c>
    </row>
    <row r="119" spans="2:17" x14ac:dyDescent="0.3">
      <c r="B119" s="43"/>
      <c r="D119" s="44"/>
      <c r="F119" s="45"/>
      <c r="J119" s="41" t="str">
        <f t="shared" ca="1" si="3"/>
        <v/>
      </c>
      <c r="Q119" t="str">
        <f ca="1">IF(AND($A119&lt;&gt;"",ISNUMBER(J119),J119&gt;=0),COUNTIFS($J$4:$J$200,"&gt;=0",$J$4:$J$200,"&lt;"&amp;J119)+COUNTIF($J$4:J119,J119),"")</f>
        <v/>
      </c>
    </row>
    <row r="120" spans="2:17" x14ac:dyDescent="0.3">
      <c r="B120" s="43"/>
      <c r="D120" s="44"/>
      <c r="F120" s="45"/>
      <c r="J120" s="41" t="str">
        <f t="shared" ca="1" si="3"/>
        <v/>
      </c>
      <c r="Q120" t="str">
        <f ca="1">IF(AND($A120&lt;&gt;"",ISNUMBER(J120),J120&gt;=0),COUNTIFS($J$4:$J$200,"&gt;=0",$J$4:$J$200,"&lt;"&amp;J120)+COUNTIF($J$4:J120,J120),"")</f>
        <v/>
      </c>
    </row>
    <row r="121" spans="2:17" x14ac:dyDescent="0.3">
      <c r="B121" s="43"/>
      <c r="D121" s="44"/>
      <c r="F121" s="45"/>
      <c r="J121" s="41" t="str">
        <f t="shared" ca="1" si="3"/>
        <v/>
      </c>
      <c r="Q121" t="str">
        <f ca="1">IF(AND($A121&lt;&gt;"",ISNUMBER(J121),J121&gt;=0),COUNTIFS($J$4:$J$200,"&gt;=0",$J$4:$J$200,"&lt;"&amp;J121)+COUNTIF($J$4:J121,J121),"")</f>
        <v/>
      </c>
    </row>
    <row r="122" spans="2:17" x14ac:dyDescent="0.3">
      <c r="B122" s="43"/>
      <c r="D122" s="44"/>
      <c r="F122" s="45"/>
      <c r="J122" s="41" t="str">
        <f t="shared" ca="1" si="3"/>
        <v/>
      </c>
      <c r="Q122" t="str">
        <f ca="1">IF(AND($A122&lt;&gt;"",ISNUMBER(J122),J122&gt;=0),COUNTIFS($J$4:$J$200,"&gt;=0",$J$4:$J$200,"&lt;"&amp;J122)+COUNTIF($J$4:J122,J122),"")</f>
        <v/>
      </c>
    </row>
    <row r="123" spans="2:17" x14ac:dyDescent="0.3">
      <c r="B123" s="43"/>
      <c r="D123" s="44"/>
      <c r="F123" s="45"/>
      <c r="J123" s="41" t="str">
        <f t="shared" ca="1" si="3"/>
        <v/>
      </c>
      <c r="Q123" t="str">
        <f ca="1">IF(AND($A123&lt;&gt;"",ISNUMBER(J123),J123&gt;=0),COUNTIFS($J$4:$J$200,"&gt;=0",$J$4:$J$200,"&lt;"&amp;J123)+COUNTIF($J$4:J123,J123),"")</f>
        <v/>
      </c>
    </row>
    <row r="124" spans="2:17" x14ac:dyDescent="0.3">
      <c r="B124" s="43"/>
      <c r="D124" s="44"/>
      <c r="F124" s="45"/>
      <c r="J124" s="41" t="str">
        <f t="shared" ca="1" si="3"/>
        <v/>
      </c>
      <c r="Q124" t="str">
        <f ca="1">IF(AND($A124&lt;&gt;"",ISNUMBER(J124),J124&gt;=0),COUNTIFS($J$4:$J$200,"&gt;=0",$J$4:$J$200,"&lt;"&amp;J124)+COUNTIF($J$4:J124,J124),"")</f>
        <v/>
      </c>
    </row>
    <row r="125" spans="2:17" x14ac:dyDescent="0.3">
      <c r="B125" s="43"/>
      <c r="D125" s="44"/>
      <c r="F125" s="45"/>
      <c r="J125" s="41" t="str">
        <f t="shared" ca="1" si="3"/>
        <v/>
      </c>
      <c r="Q125" t="str">
        <f ca="1">IF(AND($A125&lt;&gt;"",ISNUMBER(J125),J125&gt;=0),COUNTIFS($J$4:$J$200,"&gt;=0",$J$4:$J$200,"&lt;"&amp;J125)+COUNTIF($J$4:J125,J125),"")</f>
        <v/>
      </c>
    </row>
    <row r="126" spans="2:17" x14ac:dyDescent="0.3">
      <c r="B126" s="43"/>
      <c r="D126" s="44"/>
      <c r="F126" s="45"/>
      <c r="J126" s="41" t="str">
        <f t="shared" ca="1" si="3"/>
        <v/>
      </c>
      <c r="Q126" t="str">
        <f ca="1">IF(AND($A126&lt;&gt;"",ISNUMBER(J126),J126&gt;=0),COUNTIFS($J$4:$J$200,"&gt;=0",$J$4:$J$200,"&lt;"&amp;J126)+COUNTIF($J$4:J126,J126),"")</f>
        <v/>
      </c>
    </row>
    <row r="127" spans="2:17" x14ac:dyDescent="0.3">
      <c r="B127" s="43"/>
      <c r="D127" s="44"/>
      <c r="F127" s="45"/>
      <c r="J127" s="41" t="str">
        <f t="shared" ca="1" si="3"/>
        <v/>
      </c>
      <c r="Q127" t="str">
        <f ca="1">IF(AND($A127&lt;&gt;"",ISNUMBER(J127),J127&gt;=0),COUNTIFS($J$4:$J$200,"&gt;=0",$J$4:$J$200,"&lt;"&amp;J127)+COUNTIF($J$4:J127,J127),"")</f>
        <v/>
      </c>
    </row>
    <row r="128" spans="2:17" x14ac:dyDescent="0.3">
      <c r="B128" s="43"/>
      <c r="D128" s="44"/>
      <c r="F128" s="45"/>
      <c r="J128" s="41" t="str">
        <f t="shared" ca="1" si="3"/>
        <v/>
      </c>
      <c r="Q128" t="str">
        <f ca="1">IF(AND($A128&lt;&gt;"",ISNUMBER(J128),J128&gt;=0),COUNTIFS($J$4:$J$200,"&gt;=0",$J$4:$J$200,"&lt;"&amp;J128)+COUNTIF($J$4:J128,J128),"")</f>
        <v/>
      </c>
    </row>
    <row r="129" spans="2:17" x14ac:dyDescent="0.3">
      <c r="B129" s="43"/>
      <c r="D129" s="44"/>
      <c r="F129" s="45"/>
      <c r="J129" s="41" t="str">
        <f t="shared" ca="1" si="3"/>
        <v/>
      </c>
      <c r="Q129" t="str">
        <f ca="1">IF(AND($A129&lt;&gt;"",ISNUMBER(J129),J129&gt;=0),COUNTIFS($J$4:$J$200,"&gt;=0",$J$4:$J$200,"&lt;"&amp;J129)+COUNTIF($J$4:J129,J129),"")</f>
        <v/>
      </c>
    </row>
    <row r="130" spans="2:17" x14ac:dyDescent="0.3">
      <c r="B130" s="43"/>
      <c r="D130" s="44"/>
      <c r="F130" s="45"/>
      <c r="J130" s="41" t="str">
        <f t="shared" ca="1" si="3"/>
        <v/>
      </c>
      <c r="Q130" t="str">
        <f ca="1">IF(AND($A130&lt;&gt;"",ISNUMBER(J130),J130&gt;=0),COUNTIFS($J$4:$J$200,"&gt;=0",$J$4:$J$200,"&lt;"&amp;J130)+COUNTIF($J$4:J130,J130),"")</f>
        <v/>
      </c>
    </row>
    <row r="131" spans="2:17" x14ac:dyDescent="0.3">
      <c r="B131" s="43"/>
      <c r="D131" s="44"/>
      <c r="F131" s="45"/>
      <c r="J131" s="41" t="str">
        <f t="shared" ca="1" si="3"/>
        <v/>
      </c>
      <c r="Q131" t="str">
        <f ca="1">IF(AND($A131&lt;&gt;"",ISNUMBER(J131),J131&gt;=0),COUNTIFS($J$4:$J$200,"&gt;=0",$J$4:$J$200,"&lt;"&amp;J131)+COUNTIF($J$4:J131,J131),"")</f>
        <v/>
      </c>
    </row>
    <row r="132" spans="2:17" x14ac:dyDescent="0.3">
      <c r="B132" s="43"/>
      <c r="D132" s="44"/>
      <c r="F132" s="45"/>
      <c r="J132" s="41" t="str">
        <f t="shared" ref="J132:J163" ca="1" si="4">IF(I132="","",I132-TODAY())</f>
        <v/>
      </c>
      <c r="Q132" t="str">
        <f ca="1">IF(AND($A132&lt;&gt;"",ISNUMBER(J132),J132&gt;=0),COUNTIFS($J$4:$J$200,"&gt;=0",$J$4:$J$200,"&lt;"&amp;J132)+COUNTIF($J$4:J132,J132),"")</f>
        <v/>
      </c>
    </row>
    <row r="133" spans="2:17" x14ac:dyDescent="0.3">
      <c r="B133" s="43"/>
      <c r="D133" s="44"/>
      <c r="F133" s="45"/>
      <c r="J133" s="41" t="str">
        <f t="shared" ca="1" si="4"/>
        <v/>
      </c>
      <c r="Q133" t="str">
        <f ca="1">IF(AND($A133&lt;&gt;"",ISNUMBER(J133),J133&gt;=0),COUNTIFS($J$4:$J$200,"&gt;=0",$J$4:$J$200,"&lt;"&amp;J133)+COUNTIF($J$4:J133,J133),"")</f>
        <v/>
      </c>
    </row>
    <row r="134" spans="2:17" x14ac:dyDescent="0.3">
      <c r="B134" s="43"/>
      <c r="D134" s="44"/>
      <c r="F134" s="45"/>
      <c r="J134" s="41" t="str">
        <f t="shared" ca="1" si="4"/>
        <v/>
      </c>
      <c r="Q134" t="str">
        <f ca="1">IF(AND($A134&lt;&gt;"",ISNUMBER(J134),J134&gt;=0),COUNTIFS($J$4:$J$200,"&gt;=0",$J$4:$J$200,"&lt;"&amp;J134)+COUNTIF($J$4:J134,J134),"")</f>
        <v/>
      </c>
    </row>
    <row r="135" spans="2:17" x14ac:dyDescent="0.3">
      <c r="B135" s="43"/>
      <c r="D135" s="44"/>
      <c r="F135" s="45"/>
      <c r="J135" s="41" t="str">
        <f t="shared" ca="1" si="4"/>
        <v/>
      </c>
      <c r="Q135" t="str">
        <f ca="1">IF(AND($A135&lt;&gt;"",ISNUMBER(J135),J135&gt;=0),COUNTIFS($J$4:$J$200,"&gt;=0",$J$4:$J$200,"&lt;"&amp;J135)+COUNTIF($J$4:J135,J135),"")</f>
        <v/>
      </c>
    </row>
    <row r="136" spans="2:17" x14ac:dyDescent="0.3">
      <c r="B136" s="43"/>
      <c r="D136" s="44"/>
      <c r="F136" s="45"/>
      <c r="J136" s="41" t="str">
        <f t="shared" ca="1" si="4"/>
        <v/>
      </c>
      <c r="Q136" t="str">
        <f ca="1">IF(AND($A136&lt;&gt;"",ISNUMBER(J136),J136&gt;=0),COUNTIFS($J$4:$J$200,"&gt;=0",$J$4:$J$200,"&lt;"&amp;J136)+COUNTIF($J$4:J136,J136),"")</f>
        <v/>
      </c>
    </row>
    <row r="137" spans="2:17" x14ac:dyDescent="0.3">
      <c r="B137" s="43"/>
      <c r="D137" s="44"/>
      <c r="F137" s="45"/>
      <c r="J137" s="41" t="str">
        <f t="shared" ca="1" si="4"/>
        <v/>
      </c>
      <c r="Q137" t="str">
        <f ca="1">IF(AND($A137&lt;&gt;"",ISNUMBER(J137),J137&gt;=0),COUNTIFS($J$4:$J$200,"&gt;=0",$J$4:$J$200,"&lt;"&amp;J137)+COUNTIF($J$4:J137,J137),"")</f>
        <v/>
      </c>
    </row>
    <row r="138" spans="2:17" x14ac:dyDescent="0.3">
      <c r="B138" s="43"/>
      <c r="D138" s="44"/>
      <c r="F138" s="45"/>
      <c r="J138" s="41" t="str">
        <f t="shared" ca="1" si="4"/>
        <v/>
      </c>
      <c r="Q138" t="str">
        <f ca="1">IF(AND($A138&lt;&gt;"",ISNUMBER(J138),J138&gt;=0),COUNTIFS($J$4:$J$200,"&gt;=0",$J$4:$J$200,"&lt;"&amp;J138)+COUNTIF($J$4:J138,J138),"")</f>
        <v/>
      </c>
    </row>
    <row r="139" spans="2:17" x14ac:dyDescent="0.3">
      <c r="B139" s="43"/>
      <c r="D139" s="44"/>
      <c r="F139" s="45"/>
      <c r="J139" s="41" t="str">
        <f t="shared" ca="1" si="4"/>
        <v/>
      </c>
      <c r="Q139" t="str">
        <f ca="1">IF(AND($A139&lt;&gt;"",ISNUMBER(J139),J139&gt;=0),COUNTIFS($J$4:$J$200,"&gt;=0",$J$4:$J$200,"&lt;"&amp;J139)+COUNTIF($J$4:J139,J139),"")</f>
        <v/>
      </c>
    </row>
    <row r="140" spans="2:17" x14ac:dyDescent="0.3">
      <c r="B140" s="43"/>
      <c r="D140" s="44"/>
      <c r="F140" s="45"/>
      <c r="J140" s="41" t="str">
        <f t="shared" ca="1" si="4"/>
        <v/>
      </c>
      <c r="Q140" t="str">
        <f ca="1">IF(AND($A140&lt;&gt;"",ISNUMBER(J140),J140&gt;=0),COUNTIFS($J$4:$J$200,"&gt;=0",$J$4:$J$200,"&lt;"&amp;J140)+COUNTIF($J$4:J140,J140),"")</f>
        <v/>
      </c>
    </row>
    <row r="141" spans="2:17" x14ac:dyDescent="0.3">
      <c r="B141" s="43"/>
      <c r="D141" s="44"/>
      <c r="F141" s="45"/>
      <c r="J141" s="41" t="str">
        <f t="shared" ca="1" si="4"/>
        <v/>
      </c>
      <c r="Q141" t="str">
        <f ca="1">IF(AND($A141&lt;&gt;"",ISNUMBER(J141),J141&gt;=0),COUNTIFS($J$4:$J$200,"&gt;=0",$J$4:$J$200,"&lt;"&amp;J141)+COUNTIF($J$4:J141,J141),"")</f>
        <v/>
      </c>
    </row>
    <row r="142" spans="2:17" x14ac:dyDescent="0.3">
      <c r="B142" s="43"/>
      <c r="D142" s="44"/>
      <c r="F142" s="45"/>
      <c r="J142" s="41" t="str">
        <f t="shared" ca="1" si="4"/>
        <v/>
      </c>
      <c r="Q142" t="str">
        <f ca="1">IF(AND($A142&lt;&gt;"",ISNUMBER(J142),J142&gt;=0),COUNTIFS($J$4:$J$200,"&gt;=0",$J$4:$J$200,"&lt;"&amp;J142)+COUNTIF($J$4:J142,J142),"")</f>
        <v/>
      </c>
    </row>
    <row r="143" spans="2:17" x14ac:dyDescent="0.3">
      <c r="B143" s="43"/>
      <c r="D143" s="44"/>
      <c r="F143" s="45"/>
      <c r="J143" s="41" t="str">
        <f t="shared" ca="1" si="4"/>
        <v/>
      </c>
      <c r="Q143" t="str">
        <f ca="1">IF(AND($A143&lt;&gt;"",ISNUMBER(J143),J143&gt;=0),COUNTIFS($J$4:$J$200,"&gt;=0",$J$4:$J$200,"&lt;"&amp;J143)+COUNTIF($J$4:J143,J143),"")</f>
        <v/>
      </c>
    </row>
    <row r="144" spans="2:17" x14ac:dyDescent="0.3">
      <c r="B144" s="43"/>
      <c r="D144" s="44"/>
      <c r="F144" s="45"/>
      <c r="J144" s="41" t="str">
        <f t="shared" ca="1" si="4"/>
        <v/>
      </c>
      <c r="Q144" t="str">
        <f ca="1">IF(AND($A144&lt;&gt;"",ISNUMBER(J144),J144&gt;=0),COUNTIFS($J$4:$J$200,"&gt;=0",$J$4:$J$200,"&lt;"&amp;J144)+COUNTIF($J$4:J144,J144),"")</f>
        <v/>
      </c>
    </row>
    <row r="145" spans="2:17" x14ac:dyDescent="0.3">
      <c r="B145" s="43"/>
      <c r="D145" s="44"/>
      <c r="F145" s="45"/>
      <c r="J145" s="41" t="str">
        <f t="shared" ca="1" si="4"/>
        <v/>
      </c>
      <c r="Q145" t="str">
        <f ca="1">IF(AND($A145&lt;&gt;"",ISNUMBER(J145),J145&gt;=0),COUNTIFS($J$4:$J$200,"&gt;=0",$J$4:$J$200,"&lt;"&amp;J145)+COUNTIF($J$4:J145,J145),"")</f>
        <v/>
      </c>
    </row>
    <row r="146" spans="2:17" x14ac:dyDescent="0.3">
      <c r="B146" s="43"/>
      <c r="D146" s="44"/>
      <c r="F146" s="45"/>
      <c r="J146" s="41" t="str">
        <f t="shared" ca="1" si="4"/>
        <v/>
      </c>
      <c r="Q146" t="str">
        <f ca="1">IF(AND($A146&lt;&gt;"",ISNUMBER(J146),J146&gt;=0),COUNTIFS($J$4:$J$200,"&gt;=0",$J$4:$J$200,"&lt;"&amp;J146)+COUNTIF($J$4:J146,J146),"")</f>
        <v/>
      </c>
    </row>
    <row r="147" spans="2:17" x14ac:dyDescent="0.3">
      <c r="B147" s="43"/>
      <c r="D147" s="44"/>
      <c r="F147" s="45"/>
      <c r="J147" s="41" t="str">
        <f t="shared" ca="1" si="4"/>
        <v/>
      </c>
      <c r="Q147" t="str">
        <f ca="1">IF(AND($A147&lt;&gt;"",ISNUMBER(J147),J147&gt;=0),COUNTIFS($J$4:$J$200,"&gt;=0",$J$4:$J$200,"&lt;"&amp;J147)+COUNTIF($J$4:J147,J147),"")</f>
        <v/>
      </c>
    </row>
    <row r="148" spans="2:17" x14ac:dyDescent="0.3">
      <c r="B148" s="43"/>
      <c r="D148" s="44"/>
      <c r="F148" s="45"/>
      <c r="J148" s="41" t="str">
        <f t="shared" ca="1" si="4"/>
        <v/>
      </c>
      <c r="Q148" t="str">
        <f ca="1">IF(AND($A148&lt;&gt;"",ISNUMBER(J148),J148&gt;=0),COUNTIFS($J$4:$J$200,"&gt;=0",$J$4:$J$200,"&lt;"&amp;J148)+COUNTIF($J$4:J148,J148),"")</f>
        <v/>
      </c>
    </row>
    <row r="149" spans="2:17" x14ac:dyDescent="0.3">
      <c r="B149" s="43"/>
      <c r="D149" s="44"/>
      <c r="F149" s="45"/>
      <c r="J149" s="41" t="str">
        <f t="shared" ca="1" si="4"/>
        <v/>
      </c>
      <c r="Q149" t="str">
        <f ca="1">IF(AND($A149&lt;&gt;"",ISNUMBER(J149),J149&gt;=0),COUNTIFS($J$4:$J$200,"&gt;=0",$J$4:$J$200,"&lt;"&amp;J149)+COUNTIF($J$4:J149,J149),"")</f>
        <v/>
      </c>
    </row>
    <row r="150" spans="2:17" x14ac:dyDescent="0.3">
      <c r="B150" s="43"/>
      <c r="D150" s="44"/>
      <c r="F150" s="45"/>
      <c r="J150" s="41" t="str">
        <f t="shared" ca="1" si="4"/>
        <v/>
      </c>
      <c r="Q150" t="str">
        <f ca="1">IF(AND($A150&lt;&gt;"",ISNUMBER(J150),J150&gt;=0),COUNTIFS($J$4:$J$200,"&gt;=0",$J$4:$J$200,"&lt;"&amp;J150)+COUNTIF($J$4:J150,J150),"")</f>
        <v/>
      </c>
    </row>
    <row r="151" spans="2:17" x14ac:dyDescent="0.3">
      <c r="B151" s="43"/>
      <c r="D151" s="44"/>
      <c r="F151" s="45"/>
      <c r="J151" s="41" t="str">
        <f t="shared" ca="1" si="4"/>
        <v/>
      </c>
      <c r="Q151" t="str">
        <f ca="1">IF(AND($A151&lt;&gt;"",ISNUMBER(J151),J151&gt;=0),COUNTIFS($J$4:$J$200,"&gt;=0",$J$4:$J$200,"&lt;"&amp;J151)+COUNTIF($J$4:J151,J151),"")</f>
        <v/>
      </c>
    </row>
    <row r="152" spans="2:17" x14ac:dyDescent="0.3">
      <c r="B152" s="43"/>
      <c r="D152" s="44"/>
      <c r="F152" s="45"/>
      <c r="J152" s="41" t="str">
        <f t="shared" ca="1" si="4"/>
        <v/>
      </c>
      <c r="Q152" t="str">
        <f ca="1">IF(AND($A152&lt;&gt;"",ISNUMBER(J152),J152&gt;=0),COUNTIFS($J$4:$J$200,"&gt;=0",$J$4:$J$200,"&lt;"&amp;J152)+COUNTIF($J$4:J152,J152),"")</f>
        <v/>
      </c>
    </row>
    <row r="153" spans="2:17" x14ac:dyDescent="0.3">
      <c r="B153" s="43"/>
      <c r="D153" s="44"/>
      <c r="F153" s="45"/>
      <c r="J153" s="41" t="str">
        <f t="shared" ca="1" si="4"/>
        <v/>
      </c>
      <c r="Q153" t="str">
        <f ca="1">IF(AND($A153&lt;&gt;"",ISNUMBER(J153),J153&gt;=0),COUNTIFS($J$4:$J$200,"&gt;=0",$J$4:$J$200,"&lt;"&amp;J153)+COUNTIF($J$4:J153,J153),"")</f>
        <v/>
      </c>
    </row>
    <row r="154" spans="2:17" x14ac:dyDescent="0.3">
      <c r="B154" s="43"/>
      <c r="D154" s="44"/>
      <c r="F154" s="45"/>
      <c r="J154" s="41" t="str">
        <f t="shared" ca="1" si="4"/>
        <v/>
      </c>
      <c r="Q154" t="str">
        <f ca="1">IF(AND($A154&lt;&gt;"",ISNUMBER(J154),J154&gt;=0),COUNTIFS($J$4:$J$200,"&gt;=0",$J$4:$J$200,"&lt;"&amp;J154)+COUNTIF($J$4:J154,J154),"")</f>
        <v/>
      </c>
    </row>
    <row r="155" spans="2:17" x14ac:dyDescent="0.3">
      <c r="B155" s="43"/>
      <c r="D155" s="44"/>
      <c r="F155" s="45"/>
      <c r="J155" s="41" t="str">
        <f t="shared" ca="1" si="4"/>
        <v/>
      </c>
      <c r="Q155" t="str">
        <f ca="1">IF(AND($A155&lt;&gt;"",ISNUMBER(J155),J155&gt;=0),COUNTIFS($J$4:$J$200,"&gt;=0",$J$4:$J$200,"&lt;"&amp;J155)+COUNTIF($J$4:J155,J155),"")</f>
        <v/>
      </c>
    </row>
    <row r="156" spans="2:17" x14ac:dyDescent="0.3">
      <c r="B156" s="43"/>
      <c r="D156" s="44"/>
      <c r="F156" s="45"/>
      <c r="J156" s="41" t="str">
        <f t="shared" ca="1" si="4"/>
        <v/>
      </c>
      <c r="Q156" t="str">
        <f ca="1">IF(AND($A156&lt;&gt;"",ISNUMBER(J156),J156&gt;=0),COUNTIFS($J$4:$J$200,"&gt;=0",$J$4:$J$200,"&lt;"&amp;J156)+COUNTIF($J$4:J156,J156),"")</f>
        <v/>
      </c>
    </row>
    <row r="157" spans="2:17" x14ac:dyDescent="0.3">
      <c r="B157" s="43"/>
      <c r="D157" s="44"/>
      <c r="F157" s="45"/>
      <c r="J157" s="41" t="str">
        <f t="shared" ca="1" si="4"/>
        <v/>
      </c>
      <c r="Q157" t="str">
        <f ca="1">IF(AND($A157&lt;&gt;"",ISNUMBER(J157),J157&gt;=0),COUNTIFS($J$4:$J$200,"&gt;=0",$J$4:$J$200,"&lt;"&amp;J157)+COUNTIF($J$4:J157,J157),"")</f>
        <v/>
      </c>
    </row>
    <row r="158" spans="2:17" x14ac:dyDescent="0.3">
      <c r="B158" s="43"/>
      <c r="D158" s="44"/>
      <c r="F158" s="45"/>
      <c r="J158" s="41" t="str">
        <f t="shared" ca="1" si="4"/>
        <v/>
      </c>
      <c r="Q158" t="str">
        <f ca="1">IF(AND($A158&lt;&gt;"",ISNUMBER(J158),J158&gt;=0),COUNTIFS($J$4:$J$200,"&gt;=0",$J$4:$J$200,"&lt;"&amp;J158)+COUNTIF($J$4:J158,J158),"")</f>
        <v/>
      </c>
    </row>
    <row r="159" spans="2:17" x14ac:dyDescent="0.3">
      <c r="B159" s="43"/>
      <c r="D159" s="44"/>
      <c r="F159" s="45"/>
      <c r="J159" s="41" t="str">
        <f t="shared" ca="1" si="4"/>
        <v/>
      </c>
      <c r="Q159" t="str">
        <f ca="1">IF(AND($A159&lt;&gt;"",ISNUMBER(J159),J159&gt;=0),COUNTIFS($J$4:$J$200,"&gt;=0",$J$4:$J$200,"&lt;"&amp;J159)+COUNTIF($J$4:J159,J159),"")</f>
        <v/>
      </c>
    </row>
    <row r="160" spans="2:17" x14ac:dyDescent="0.3">
      <c r="B160" s="43"/>
      <c r="D160" s="44"/>
      <c r="F160" s="45"/>
      <c r="J160" s="41" t="str">
        <f t="shared" ca="1" si="4"/>
        <v/>
      </c>
      <c r="Q160" t="str">
        <f ca="1">IF(AND($A160&lt;&gt;"",ISNUMBER(J160),J160&gt;=0),COUNTIFS($J$4:$J$200,"&gt;=0",$J$4:$J$200,"&lt;"&amp;J160)+COUNTIF($J$4:J160,J160),"")</f>
        <v/>
      </c>
    </row>
    <row r="161" spans="2:17" x14ac:dyDescent="0.3">
      <c r="B161" s="43"/>
      <c r="D161" s="44"/>
      <c r="F161" s="45"/>
      <c r="J161" s="41" t="str">
        <f t="shared" ca="1" si="4"/>
        <v/>
      </c>
      <c r="Q161" t="str">
        <f ca="1">IF(AND($A161&lt;&gt;"",ISNUMBER(J161),J161&gt;=0),COUNTIFS($J$4:$J$200,"&gt;=0",$J$4:$J$200,"&lt;"&amp;J161)+COUNTIF($J$4:J161,J161),"")</f>
        <v/>
      </c>
    </row>
    <row r="162" spans="2:17" x14ac:dyDescent="0.3">
      <c r="B162" s="43"/>
      <c r="D162" s="44"/>
      <c r="F162" s="45"/>
      <c r="J162" s="41" t="str">
        <f t="shared" ca="1" si="4"/>
        <v/>
      </c>
      <c r="Q162" t="str">
        <f ca="1">IF(AND($A162&lt;&gt;"",ISNUMBER(J162),J162&gt;=0),COUNTIFS($J$4:$J$200,"&gt;=0",$J$4:$J$200,"&lt;"&amp;J162)+COUNTIF($J$4:J162,J162),"")</f>
        <v/>
      </c>
    </row>
    <row r="163" spans="2:17" x14ac:dyDescent="0.3">
      <c r="B163" s="43"/>
      <c r="D163" s="44"/>
      <c r="F163" s="45"/>
      <c r="J163" s="41" t="str">
        <f t="shared" ca="1" si="4"/>
        <v/>
      </c>
      <c r="Q163" t="str">
        <f ca="1">IF(AND($A163&lt;&gt;"",ISNUMBER(J163),J163&gt;=0),COUNTIFS($J$4:$J$200,"&gt;=0",$J$4:$J$200,"&lt;"&amp;J163)+COUNTIF($J$4:J163,J163),"")</f>
        <v/>
      </c>
    </row>
    <row r="164" spans="2:17" x14ac:dyDescent="0.3">
      <c r="B164" s="43"/>
      <c r="D164" s="44"/>
      <c r="F164" s="45"/>
      <c r="J164" s="41" t="str">
        <f t="shared" ref="J164:J195" ca="1" si="5">IF(I164="","",I164-TODAY())</f>
        <v/>
      </c>
      <c r="Q164" t="str">
        <f ca="1">IF(AND($A164&lt;&gt;"",ISNUMBER(J164),J164&gt;=0),COUNTIFS($J$4:$J$200,"&gt;=0",$J$4:$J$200,"&lt;"&amp;J164)+COUNTIF($J$4:J164,J164),"")</f>
        <v/>
      </c>
    </row>
    <row r="165" spans="2:17" x14ac:dyDescent="0.3">
      <c r="B165" s="43"/>
      <c r="D165" s="44"/>
      <c r="F165" s="45"/>
      <c r="J165" s="41" t="str">
        <f t="shared" ca="1" si="5"/>
        <v/>
      </c>
      <c r="Q165" t="str">
        <f ca="1">IF(AND($A165&lt;&gt;"",ISNUMBER(J165),J165&gt;=0),COUNTIFS($J$4:$J$200,"&gt;=0",$J$4:$J$200,"&lt;"&amp;J165)+COUNTIF($J$4:J165,J165),"")</f>
        <v/>
      </c>
    </row>
    <row r="166" spans="2:17" x14ac:dyDescent="0.3">
      <c r="B166" s="43"/>
      <c r="D166" s="44"/>
      <c r="F166" s="45"/>
      <c r="J166" s="41" t="str">
        <f t="shared" ca="1" si="5"/>
        <v/>
      </c>
      <c r="Q166" t="str">
        <f ca="1">IF(AND($A166&lt;&gt;"",ISNUMBER(J166),J166&gt;=0),COUNTIFS($J$4:$J$200,"&gt;=0",$J$4:$J$200,"&lt;"&amp;J166)+COUNTIF($J$4:J166,J166),"")</f>
        <v/>
      </c>
    </row>
    <row r="167" spans="2:17" x14ac:dyDescent="0.3">
      <c r="B167" s="43"/>
      <c r="D167" s="44"/>
      <c r="F167" s="45"/>
      <c r="J167" s="41" t="str">
        <f t="shared" ca="1" si="5"/>
        <v/>
      </c>
      <c r="Q167" t="str">
        <f ca="1">IF(AND($A167&lt;&gt;"",ISNUMBER(J167),J167&gt;=0),COUNTIFS($J$4:$J$200,"&gt;=0",$J$4:$J$200,"&lt;"&amp;J167)+COUNTIF($J$4:J167,J167),"")</f>
        <v/>
      </c>
    </row>
    <row r="168" spans="2:17" x14ac:dyDescent="0.3">
      <c r="B168" s="43"/>
      <c r="D168" s="44"/>
      <c r="F168" s="45"/>
      <c r="J168" s="41" t="str">
        <f t="shared" ca="1" si="5"/>
        <v/>
      </c>
      <c r="Q168" t="str">
        <f ca="1">IF(AND($A168&lt;&gt;"",ISNUMBER(J168),J168&gt;=0),COUNTIFS($J$4:$J$200,"&gt;=0",$J$4:$J$200,"&lt;"&amp;J168)+COUNTIF($J$4:J168,J168),"")</f>
        <v/>
      </c>
    </row>
    <row r="169" spans="2:17" x14ac:dyDescent="0.3">
      <c r="B169" s="43"/>
      <c r="D169" s="44"/>
      <c r="F169" s="45"/>
      <c r="J169" s="41" t="str">
        <f t="shared" ca="1" si="5"/>
        <v/>
      </c>
      <c r="Q169" t="str">
        <f ca="1">IF(AND($A169&lt;&gt;"",ISNUMBER(J169),J169&gt;=0),COUNTIFS($J$4:$J$200,"&gt;=0",$J$4:$J$200,"&lt;"&amp;J169)+COUNTIF($J$4:J169,J169),"")</f>
        <v/>
      </c>
    </row>
    <row r="170" spans="2:17" x14ac:dyDescent="0.3">
      <c r="B170" s="43"/>
      <c r="D170" s="44"/>
      <c r="F170" s="45"/>
      <c r="J170" s="41" t="str">
        <f t="shared" ca="1" si="5"/>
        <v/>
      </c>
      <c r="Q170" t="str">
        <f ca="1">IF(AND($A170&lt;&gt;"",ISNUMBER(J170),J170&gt;=0),COUNTIFS($J$4:$J$200,"&gt;=0",$J$4:$J$200,"&lt;"&amp;J170)+COUNTIF($J$4:J170,J170),"")</f>
        <v/>
      </c>
    </row>
    <row r="171" spans="2:17" x14ac:dyDescent="0.3">
      <c r="B171" s="43"/>
      <c r="D171" s="44"/>
      <c r="F171" s="45"/>
      <c r="J171" s="41" t="str">
        <f t="shared" ca="1" si="5"/>
        <v/>
      </c>
      <c r="Q171" t="str">
        <f ca="1">IF(AND($A171&lt;&gt;"",ISNUMBER(J171),J171&gt;=0),COUNTIFS($J$4:$J$200,"&gt;=0",$J$4:$J$200,"&lt;"&amp;J171)+COUNTIF($J$4:J171,J171),"")</f>
        <v/>
      </c>
    </row>
    <row r="172" spans="2:17" x14ac:dyDescent="0.3">
      <c r="B172" s="43"/>
      <c r="D172" s="44"/>
      <c r="F172" s="45"/>
      <c r="J172" s="41" t="str">
        <f t="shared" ca="1" si="5"/>
        <v/>
      </c>
      <c r="Q172" t="str">
        <f ca="1">IF(AND($A172&lt;&gt;"",ISNUMBER(J172),J172&gt;=0),COUNTIFS($J$4:$J$200,"&gt;=0",$J$4:$J$200,"&lt;"&amp;J172)+COUNTIF($J$4:J172,J172),"")</f>
        <v/>
      </c>
    </row>
    <row r="173" spans="2:17" x14ac:dyDescent="0.3">
      <c r="B173" s="43"/>
      <c r="D173" s="44"/>
      <c r="F173" s="45"/>
      <c r="J173" s="41" t="str">
        <f t="shared" ca="1" si="5"/>
        <v/>
      </c>
      <c r="Q173" t="str">
        <f ca="1">IF(AND($A173&lt;&gt;"",ISNUMBER(J173),J173&gt;=0),COUNTIFS($J$4:$J$200,"&gt;=0",$J$4:$J$200,"&lt;"&amp;J173)+COUNTIF($J$4:J173,J173),"")</f>
        <v/>
      </c>
    </row>
    <row r="174" spans="2:17" x14ac:dyDescent="0.3">
      <c r="B174" s="43"/>
      <c r="D174" s="44"/>
      <c r="F174" s="45"/>
      <c r="J174" s="41" t="str">
        <f t="shared" ca="1" si="5"/>
        <v/>
      </c>
      <c r="Q174" t="str">
        <f ca="1">IF(AND($A174&lt;&gt;"",ISNUMBER(J174),J174&gt;=0),COUNTIFS($J$4:$J$200,"&gt;=0",$J$4:$J$200,"&lt;"&amp;J174)+COUNTIF($J$4:J174,J174),"")</f>
        <v/>
      </c>
    </row>
    <row r="175" spans="2:17" x14ac:dyDescent="0.3">
      <c r="B175" s="43"/>
      <c r="D175" s="44"/>
      <c r="F175" s="45"/>
      <c r="J175" s="41" t="str">
        <f t="shared" ca="1" si="5"/>
        <v/>
      </c>
      <c r="Q175" t="str">
        <f ca="1">IF(AND($A175&lt;&gt;"",ISNUMBER(J175),J175&gt;=0),COUNTIFS($J$4:$J$200,"&gt;=0",$J$4:$J$200,"&lt;"&amp;J175)+COUNTIF($J$4:J175,J175),"")</f>
        <v/>
      </c>
    </row>
    <row r="176" spans="2:17" x14ac:dyDescent="0.3">
      <c r="B176" s="43"/>
      <c r="D176" s="44"/>
      <c r="F176" s="45"/>
      <c r="J176" s="41" t="str">
        <f t="shared" ca="1" si="5"/>
        <v/>
      </c>
      <c r="Q176" t="str">
        <f ca="1">IF(AND($A176&lt;&gt;"",ISNUMBER(J176),J176&gt;=0),COUNTIFS($J$4:$J$200,"&gt;=0",$J$4:$J$200,"&lt;"&amp;J176)+COUNTIF($J$4:J176,J176),"")</f>
        <v/>
      </c>
    </row>
    <row r="177" spans="2:17" x14ac:dyDescent="0.3">
      <c r="B177" s="43"/>
      <c r="D177" s="44"/>
      <c r="F177" s="45"/>
      <c r="J177" s="41" t="str">
        <f t="shared" ca="1" si="5"/>
        <v/>
      </c>
      <c r="Q177" t="str">
        <f ca="1">IF(AND($A177&lt;&gt;"",ISNUMBER(J177),J177&gt;=0),COUNTIFS($J$4:$J$200,"&gt;=0",$J$4:$J$200,"&lt;"&amp;J177)+COUNTIF($J$4:J177,J177),"")</f>
        <v/>
      </c>
    </row>
    <row r="178" spans="2:17" x14ac:dyDescent="0.3">
      <c r="B178" s="43"/>
      <c r="D178" s="44"/>
      <c r="F178" s="45"/>
      <c r="J178" s="41" t="str">
        <f t="shared" ca="1" si="5"/>
        <v/>
      </c>
      <c r="Q178" t="str">
        <f ca="1">IF(AND($A178&lt;&gt;"",ISNUMBER(J178),J178&gt;=0),COUNTIFS($J$4:$J$200,"&gt;=0",$J$4:$J$200,"&lt;"&amp;J178)+COUNTIF($J$4:J178,J178),"")</f>
        <v/>
      </c>
    </row>
    <row r="179" spans="2:17" x14ac:dyDescent="0.3">
      <c r="B179" s="43"/>
      <c r="D179" s="44"/>
      <c r="F179" s="45"/>
      <c r="J179" s="41" t="str">
        <f t="shared" ca="1" si="5"/>
        <v/>
      </c>
      <c r="Q179" t="str">
        <f ca="1">IF(AND($A179&lt;&gt;"",ISNUMBER(J179),J179&gt;=0),COUNTIFS($J$4:$J$200,"&gt;=0",$J$4:$J$200,"&lt;"&amp;J179)+COUNTIF($J$4:J179,J179),"")</f>
        <v/>
      </c>
    </row>
    <row r="180" spans="2:17" x14ac:dyDescent="0.3">
      <c r="B180" s="43"/>
      <c r="D180" s="44"/>
      <c r="F180" s="45"/>
      <c r="J180" s="41" t="str">
        <f t="shared" ca="1" si="5"/>
        <v/>
      </c>
      <c r="Q180" t="str">
        <f ca="1">IF(AND($A180&lt;&gt;"",ISNUMBER(J180),J180&gt;=0),COUNTIFS($J$4:$J$200,"&gt;=0",$J$4:$J$200,"&lt;"&amp;J180)+COUNTIF($J$4:J180,J180),"")</f>
        <v/>
      </c>
    </row>
    <row r="181" spans="2:17" x14ac:dyDescent="0.3">
      <c r="B181" s="43"/>
      <c r="D181" s="44"/>
      <c r="F181" s="45"/>
      <c r="J181" s="41" t="str">
        <f t="shared" ca="1" si="5"/>
        <v/>
      </c>
      <c r="Q181" t="str">
        <f ca="1">IF(AND($A181&lt;&gt;"",ISNUMBER(J181),J181&gt;=0),COUNTIFS($J$4:$J$200,"&gt;=0",$J$4:$J$200,"&lt;"&amp;J181)+COUNTIF($J$4:J181,J181),"")</f>
        <v/>
      </c>
    </row>
    <row r="182" spans="2:17" x14ac:dyDescent="0.3">
      <c r="B182" s="43"/>
      <c r="D182" s="44"/>
      <c r="F182" s="45"/>
      <c r="J182" s="41" t="str">
        <f t="shared" ca="1" si="5"/>
        <v/>
      </c>
      <c r="Q182" t="str">
        <f ca="1">IF(AND($A182&lt;&gt;"",ISNUMBER(J182),J182&gt;=0),COUNTIFS($J$4:$J$200,"&gt;=0",$J$4:$J$200,"&lt;"&amp;J182)+COUNTIF($J$4:J182,J182),"")</f>
        <v/>
      </c>
    </row>
    <row r="183" spans="2:17" x14ac:dyDescent="0.3">
      <c r="B183" s="43"/>
      <c r="D183" s="44"/>
      <c r="F183" s="45"/>
      <c r="J183" s="41" t="str">
        <f t="shared" ca="1" si="5"/>
        <v/>
      </c>
      <c r="Q183" t="str">
        <f ca="1">IF(AND($A183&lt;&gt;"",ISNUMBER(J183),J183&gt;=0),COUNTIFS($J$4:$J$200,"&gt;=0",$J$4:$J$200,"&lt;"&amp;J183)+COUNTIF($J$4:J183,J183),"")</f>
        <v/>
      </c>
    </row>
    <row r="184" spans="2:17" x14ac:dyDescent="0.3">
      <c r="B184" s="43"/>
      <c r="D184" s="44"/>
      <c r="F184" s="45"/>
      <c r="J184" s="41" t="str">
        <f t="shared" ca="1" si="5"/>
        <v/>
      </c>
      <c r="Q184" t="str">
        <f ca="1">IF(AND($A184&lt;&gt;"",ISNUMBER(J184),J184&gt;=0),COUNTIFS($J$4:$J$200,"&gt;=0",$J$4:$J$200,"&lt;"&amp;J184)+COUNTIF($J$4:J184,J184),"")</f>
        <v/>
      </c>
    </row>
    <row r="185" spans="2:17" x14ac:dyDescent="0.3">
      <c r="B185" s="43"/>
      <c r="D185" s="44"/>
      <c r="F185" s="45"/>
      <c r="J185" s="41" t="str">
        <f t="shared" ca="1" si="5"/>
        <v/>
      </c>
      <c r="Q185" t="str">
        <f ca="1">IF(AND($A185&lt;&gt;"",ISNUMBER(J185),J185&gt;=0),COUNTIFS($J$4:$J$200,"&gt;=0",$J$4:$J$200,"&lt;"&amp;J185)+COUNTIF($J$4:J185,J185),"")</f>
        <v/>
      </c>
    </row>
    <row r="186" spans="2:17" x14ac:dyDescent="0.3">
      <c r="B186" s="43"/>
      <c r="D186" s="44"/>
      <c r="F186" s="45"/>
      <c r="J186" s="41" t="str">
        <f t="shared" ca="1" si="5"/>
        <v/>
      </c>
      <c r="Q186" t="str">
        <f ca="1">IF(AND($A186&lt;&gt;"",ISNUMBER(J186),J186&gt;=0),COUNTIFS($J$4:$J$200,"&gt;=0",$J$4:$J$200,"&lt;"&amp;J186)+COUNTIF($J$4:J186,J186),"")</f>
        <v/>
      </c>
    </row>
    <row r="187" spans="2:17" x14ac:dyDescent="0.3">
      <c r="B187" s="43"/>
      <c r="D187" s="44"/>
      <c r="F187" s="45"/>
      <c r="J187" s="41" t="str">
        <f t="shared" ca="1" si="5"/>
        <v/>
      </c>
      <c r="Q187" t="str">
        <f ca="1">IF(AND($A187&lt;&gt;"",ISNUMBER(J187),J187&gt;=0),COUNTIFS($J$4:$J$200,"&gt;=0",$J$4:$J$200,"&lt;"&amp;J187)+COUNTIF($J$4:J187,J187),"")</f>
        <v/>
      </c>
    </row>
    <row r="188" spans="2:17" x14ac:dyDescent="0.3">
      <c r="B188" s="43"/>
      <c r="D188" s="44"/>
      <c r="F188" s="45"/>
      <c r="J188" s="41" t="str">
        <f t="shared" ca="1" si="5"/>
        <v/>
      </c>
      <c r="Q188" t="str">
        <f ca="1">IF(AND($A188&lt;&gt;"",ISNUMBER(J188),J188&gt;=0),COUNTIFS($J$4:$J$200,"&gt;=0",$J$4:$J$200,"&lt;"&amp;J188)+COUNTIF($J$4:J188,J188),"")</f>
        <v/>
      </c>
    </row>
    <row r="189" spans="2:17" x14ac:dyDescent="0.3">
      <c r="B189" s="43"/>
      <c r="D189" s="44"/>
      <c r="F189" s="45"/>
      <c r="J189" s="41" t="str">
        <f t="shared" ca="1" si="5"/>
        <v/>
      </c>
      <c r="Q189" t="str">
        <f ca="1">IF(AND($A189&lt;&gt;"",ISNUMBER(J189),J189&gt;=0),COUNTIFS($J$4:$J$200,"&gt;=0",$J$4:$J$200,"&lt;"&amp;J189)+COUNTIF($J$4:J189,J189),"")</f>
        <v/>
      </c>
    </row>
    <row r="190" spans="2:17" x14ac:dyDescent="0.3">
      <c r="B190" s="43"/>
      <c r="D190" s="44"/>
      <c r="F190" s="45"/>
      <c r="J190" s="41" t="str">
        <f t="shared" ca="1" si="5"/>
        <v/>
      </c>
      <c r="Q190" t="str">
        <f ca="1">IF(AND($A190&lt;&gt;"",ISNUMBER(J190),J190&gt;=0),COUNTIFS($J$4:$J$200,"&gt;=0",$J$4:$J$200,"&lt;"&amp;J190)+COUNTIF($J$4:J190,J190),"")</f>
        <v/>
      </c>
    </row>
    <row r="191" spans="2:17" x14ac:dyDescent="0.3">
      <c r="B191" s="43"/>
      <c r="D191" s="44"/>
      <c r="F191" s="45"/>
      <c r="J191" s="41" t="str">
        <f t="shared" ca="1" si="5"/>
        <v/>
      </c>
      <c r="Q191" t="str">
        <f ca="1">IF(AND($A191&lt;&gt;"",ISNUMBER(J191),J191&gt;=0),COUNTIFS($J$4:$J$200,"&gt;=0",$J$4:$J$200,"&lt;"&amp;J191)+COUNTIF($J$4:J191,J191),"")</f>
        <v/>
      </c>
    </row>
    <row r="192" spans="2:17" x14ac:dyDescent="0.3">
      <c r="B192" s="43"/>
      <c r="D192" s="44"/>
      <c r="F192" s="45"/>
      <c r="J192" s="41" t="str">
        <f t="shared" ca="1" si="5"/>
        <v/>
      </c>
      <c r="Q192" t="str">
        <f ca="1">IF(AND($A192&lt;&gt;"",ISNUMBER(J192),J192&gt;=0),COUNTIFS($J$4:$J$200,"&gt;=0",$J$4:$J$200,"&lt;"&amp;J192)+COUNTIF($J$4:J192,J192),"")</f>
        <v/>
      </c>
    </row>
    <row r="193" spans="2:17" x14ac:dyDescent="0.3">
      <c r="B193" s="43"/>
      <c r="D193" s="44"/>
      <c r="F193" s="45"/>
      <c r="J193" s="41" t="str">
        <f t="shared" ca="1" si="5"/>
        <v/>
      </c>
      <c r="Q193" t="str">
        <f ca="1">IF(AND($A193&lt;&gt;"",ISNUMBER(J193),J193&gt;=0),COUNTIFS($J$4:$J$200,"&gt;=0",$J$4:$J$200,"&lt;"&amp;J193)+COUNTIF($J$4:J193,J193),"")</f>
        <v/>
      </c>
    </row>
    <row r="194" spans="2:17" x14ac:dyDescent="0.3">
      <c r="B194" s="43"/>
      <c r="D194" s="44"/>
      <c r="F194" s="45"/>
      <c r="J194" s="41" t="str">
        <f t="shared" ca="1" si="5"/>
        <v/>
      </c>
      <c r="Q194" t="str">
        <f ca="1">IF(AND($A194&lt;&gt;"",ISNUMBER(J194),J194&gt;=0),COUNTIFS($J$4:$J$200,"&gt;=0",$J$4:$J$200,"&lt;"&amp;J194)+COUNTIF($J$4:J194,J194),"")</f>
        <v/>
      </c>
    </row>
    <row r="195" spans="2:17" x14ac:dyDescent="0.3">
      <c r="B195" s="43"/>
      <c r="D195" s="44"/>
      <c r="F195" s="45"/>
      <c r="J195" s="41" t="str">
        <f t="shared" ca="1" si="5"/>
        <v/>
      </c>
      <c r="Q195" t="str">
        <f ca="1">IF(AND($A195&lt;&gt;"",ISNUMBER(J195),J195&gt;=0),COUNTIFS($J$4:$J$200,"&gt;=0",$J$4:$J$200,"&lt;"&amp;J195)+COUNTIF($J$4:J195,J195),"")</f>
        <v/>
      </c>
    </row>
    <row r="196" spans="2:17" x14ac:dyDescent="0.3">
      <c r="B196" s="43"/>
      <c r="D196" s="44"/>
      <c r="F196" s="45"/>
      <c r="J196" s="41" t="str">
        <f t="shared" ref="J196:J227" ca="1" si="6">IF(I196="","",I196-TODAY())</f>
        <v/>
      </c>
      <c r="Q196" t="str">
        <f ca="1">IF(AND($A196&lt;&gt;"",ISNUMBER(J196),J196&gt;=0),COUNTIFS($J$4:$J$200,"&gt;=0",$J$4:$J$200,"&lt;"&amp;J196)+COUNTIF($J$4:J196,J196),"")</f>
        <v/>
      </c>
    </row>
    <row r="197" spans="2:17" x14ac:dyDescent="0.3">
      <c r="B197" s="43"/>
      <c r="D197" s="44"/>
      <c r="F197" s="45"/>
      <c r="J197" s="41" t="str">
        <f t="shared" ca="1" si="6"/>
        <v/>
      </c>
      <c r="Q197" t="str">
        <f ca="1">IF(AND($A197&lt;&gt;"",ISNUMBER(J197),J197&gt;=0),COUNTIFS($J$4:$J$200,"&gt;=0",$J$4:$J$200,"&lt;"&amp;J197)+COUNTIF($J$4:J197,J197),"")</f>
        <v/>
      </c>
    </row>
    <row r="198" spans="2:17" x14ac:dyDescent="0.3">
      <c r="B198" s="43"/>
      <c r="D198" s="44"/>
      <c r="F198" s="45"/>
      <c r="J198" s="41" t="str">
        <f t="shared" ca="1" si="6"/>
        <v/>
      </c>
      <c r="Q198" t="str">
        <f ca="1">IF(AND($A198&lt;&gt;"",ISNUMBER(J198),J198&gt;=0),COUNTIFS($J$4:$J$200,"&gt;=0",$J$4:$J$200,"&lt;"&amp;J198)+COUNTIF($J$4:J198,J198),"")</f>
        <v/>
      </c>
    </row>
    <row r="199" spans="2:17" x14ac:dyDescent="0.3">
      <c r="B199" s="43"/>
      <c r="D199" s="44"/>
      <c r="F199" s="45"/>
      <c r="J199" s="41" t="str">
        <f t="shared" ca="1" si="6"/>
        <v/>
      </c>
      <c r="Q199" t="str">
        <f ca="1">IF(AND($A199&lt;&gt;"",ISNUMBER(J199),J199&gt;=0),COUNTIFS($J$4:$J$200,"&gt;=0",$J$4:$J$200,"&lt;"&amp;J199)+COUNTIF($J$4:J199,J199),"")</f>
        <v/>
      </c>
    </row>
    <row r="200" spans="2:17" x14ac:dyDescent="0.3">
      <c r="B200" s="43"/>
      <c r="D200" s="44"/>
      <c r="F200" s="45"/>
      <c r="J200" s="41" t="str">
        <f t="shared" ca="1" si="6"/>
        <v/>
      </c>
      <c r="Q200" t="str">
        <f ca="1">IF(AND($A200&lt;&gt;"",ISNUMBER(J200),J200&gt;=0),COUNTIFS($J$4:$J$200,"&gt;=0",$J$4:$J$200,"&lt;"&amp;J200)+COUNTIF($J$4:J200,J200),"")</f>
        <v/>
      </c>
    </row>
  </sheetData>
  <mergeCells count="3">
    <mergeCell ref="A1:O1"/>
    <mergeCell ref="A2:M2"/>
    <mergeCell ref="N2:O2"/>
  </mergeCells>
  <conditionalFormatting sqref="J4:J200">
    <cfRule type="cellIs" dxfId="11" priority="1" operator="lessThan">
      <formula>0</formula>
    </cfRule>
    <cfRule type="cellIs" dxfId="10" priority="2" operator="between">
      <formula>0</formula>
      <formula>14</formula>
    </cfRule>
    <cfRule type="cellIs" dxfId="9" priority="3" operator="greaterThan">
      <formula>14</formula>
    </cfRule>
  </conditionalFormatting>
  <conditionalFormatting sqref="A4:O200">
    <cfRule type="expression" dxfId="8" priority="4">
      <formula>AND(ISNUMBER($J4),$J4&gt;=0,$J4&lt;=30)</formula>
    </cfRule>
  </conditionalFormatting>
  <dataValidations count="4">
    <dataValidation type="list" allowBlank="1" sqref="K4:K200" xr:uid="{00000000-0002-0000-0100-000000000000}">
      <formula1>"High,Medium,Low"</formula1>
    </dataValidation>
    <dataValidation type="list" allowBlank="1" sqref="D4:D200" xr:uid="{00000000-0002-0000-0100-000001000000}">
      <formula1>"Netherlands,Sweden,Denmark,Luxembourg,Germany,Switzerland,Belgium,Finland,Norway,France,United Kingdom,Austria,Italy,Canada,Australia"</formula1>
    </dataValidation>
    <dataValidation type="list" allowBlank="1" sqref="F4:F200" xr:uid="{00000000-0002-0000-0100-000002000000}">
      <formula1>"PhD,Postdoc,Researcher"</formula1>
    </dataValidation>
    <dataValidation type="list" allowBlank="1" sqref="H4:H200" xr:uid="{00000000-0002-0000-0100-000003000000}">
      <formula1>"Fully Funded,Not Stated,Partially Funded,Unfunded"</formula1>
    </dataValidation>
  </dataValidations>
  <hyperlinks>
    <hyperlink ref="N2" location="'Dashboard'!A1" display="◀ Back to Dashboard" xr:uid="{00000000-0004-0000-0100-000000000000}"/>
    <hyperlink ref="N4" r:id="rId1" xr:uid="{00000000-0004-0000-0100-000001000000}"/>
    <hyperlink ref="N5" r:id="rId2" xr:uid="{00000000-0004-0000-0100-000002000000}"/>
    <hyperlink ref="N6" r:id="rId3" xr:uid="{00000000-0004-0000-0100-000003000000}"/>
    <hyperlink ref="N7" r:id="rId4" xr:uid="{00000000-0004-0000-0100-000004000000}"/>
    <hyperlink ref="N8" r:id="rId5" xr:uid="{00000000-0004-0000-0100-000005000000}"/>
    <hyperlink ref="N9" r:id="rId6" xr:uid="{00000000-0004-0000-0100-000006000000}"/>
    <hyperlink ref="N10" r:id="rId7" xr:uid="{00000000-0004-0000-0100-000007000000}"/>
    <hyperlink ref="N11" r:id="rId8" xr:uid="{00000000-0004-0000-0100-000008000000}"/>
    <hyperlink ref="N12" r:id="rId9" xr:uid="{00000000-0004-0000-0100-000009000000}"/>
    <hyperlink ref="N13" r:id="rId10" xr:uid="{00000000-0004-0000-0100-00000A000000}"/>
    <hyperlink ref="N14" r:id="rId11" xr:uid="{00000000-0004-0000-0100-00000B000000}"/>
    <hyperlink ref="N15" r:id="rId12" xr:uid="{00000000-0004-0000-0100-00000C000000}"/>
    <hyperlink ref="N16" r:id="rId13" xr:uid="{00000000-0004-0000-0100-00000D000000}"/>
    <hyperlink ref="N17" r:id="rId14" xr:uid="{00000000-0004-0000-0100-00000E000000}"/>
    <hyperlink ref="N18" r:id="rId15" xr:uid="{00000000-0004-0000-0100-00000F000000}"/>
    <hyperlink ref="N19" r:id="rId16" xr:uid="{00000000-0004-0000-0100-000010000000}"/>
    <hyperlink ref="N20" r:id="rId17" xr:uid="{00000000-0004-0000-0100-000011000000}"/>
    <hyperlink ref="N21" r:id="rId18" xr:uid="{00000000-0004-0000-0100-000012000000}"/>
    <hyperlink ref="N22" r:id="rId19" xr:uid="{00000000-0004-0000-0100-000013000000}"/>
    <hyperlink ref="N23" r:id="rId20" xr:uid="{00000000-0004-0000-0100-000014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6305C"/>
  </sheetPr>
  <dimension ref="A1:Q200"/>
  <sheetViews>
    <sheetView showGridLines="0" workbookViewId="0">
      <pane ySplit="3" topLeftCell="A4" activePane="bottomLeft" state="frozen"/>
      <selection pane="bottomLeft"/>
    </sheetView>
  </sheetViews>
  <sheetFormatPr defaultRowHeight="14.4" x14ac:dyDescent="0.3"/>
  <cols>
    <col min="1" max="1" width="6" customWidth="1"/>
    <col min="2" max="2" width="44" customWidth="1"/>
    <col min="3" max="3" width="26" customWidth="1"/>
    <col min="4" max="4" width="14" customWidth="1"/>
    <col min="5" max="5" width="13" customWidth="1"/>
    <col min="6" max="6" width="12" customWidth="1"/>
    <col min="7" max="7" width="11" customWidth="1"/>
    <col min="8" max="12" width="13" customWidth="1"/>
    <col min="13" max="13" width="11" customWidth="1"/>
    <col min="14" max="14" width="14" customWidth="1"/>
    <col min="15" max="15" width="19" customWidth="1"/>
    <col min="17" max="17" width="13" hidden="1" customWidth="1"/>
  </cols>
  <sheetData>
    <row r="1" spans="1:17" ht="34.049999999999997" customHeight="1" x14ac:dyDescent="0.3">
      <c r="A1" s="78" t="s">
        <v>177</v>
      </c>
      <c r="B1" s="69"/>
      <c r="C1" s="69"/>
      <c r="D1" s="69"/>
      <c r="E1" s="69"/>
      <c r="F1" s="69"/>
      <c r="G1" s="69"/>
      <c r="H1" s="69"/>
      <c r="I1" s="69"/>
      <c r="J1" s="69"/>
      <c r="K1" s="69"/>
      <c r="L1" s="69"/>
      <c r="M1" s="69"/>
      <c r="N1" s="69"/>
      <c r="O1" s="69"/>
    </row>
    <row r="2" spans="1:17" ht="19.95" customHeight="1" x14ac:dyDescent="0.3">
      <c r="A2" s="79" t="s">
        <v>178</v>
      </c>
      <c r="B2" s="69"/>
      <c r="C2" s="69"/>
      <c r="D2" s="69"/>
      <c r="E2" s="69"/>
      <c r="F2" s="69"/>
      <c r="G2" s="69"/>
      <c r="H2" s="69"/>
      <c r="I2" s="69"/>
      <c r="J2" s="69"/>
      <c r="K2" s="69"/>
      <c r="L2" s="69"/>
      <c r="M2" s="69"/>
      <c r="N2" s="80" t="s">
        <v>63</v>
      </c>
      <c r="O2" s="69"/>
    </row>
    <row r="3" spans="1:17" ht="34.049999999999997" customHeight="1" x14ac:dyDescent="0.3">
      <c r="A3" s="30" t="s">
        <v>64</v>
      </c>
      <c r="B3" s="30" t="s">
        <v>56</v>
      </c>
      <c r="C3" s="30" t="s">
        <v>57</v>
      </c>
      <c r="D3" s="30" t="s">
        <v>3</v>
      </c>
      <c r="E3" s="46" t="s">
        <v>179</v>
      </c>
      <c r="F3" s="30" t="s">
        <v>180</v>
      </c>
      <c r="G3" s="30" t="s">
        <v>181</v>
      </c>
      <c r="H3" s="30" t="s">
        <v>182</v>
      </c>
      <c r="I3" s="30" t="s">
        <v>183</v>
      </c>
      <c r="J3" s="30" t="s">
        <v>184</v>
      </c>
      <c r="K3" s="30" t="s">
        <v>185</v>
      </c>
      <c r="L3" s="30" t="s">
        <v>186</v>
      </c>
      <c r="M3" s="47" t="s">
        <v>58</v>
      </c>
      <c r="N3" s="30" t="s">
        <v>59</v>
      </c>
      <c r="O3" s="48" t="s">
        <v>36</v>
      </c>
      <c r="Q3" s="33" t="s">
        <v>187</v>
      </c>
    </row>
    <row r="4" spans="1:17" ht="28.05" customHeight="1" x14ac:dyDescent="0.3">
      <c r="A4" s="34">
        <v>1</v>
      </c>
      <c r="B4" s="49" t="str">
        <f>IFERROR(INDEX('Position Database'!B:B,MATCH($A4,'Position Database'!$A:$A,0)),"")</f>
        <v>Post Doc: Learning Interactions in Collective Cell Migration</v>
      </c>
      <c r="C4" s="50" t="str">
        <f>IFERROR(INDEX('Position Database'!C:C,MATCH($A4,'Position Database'!$A:$A,0)),"")</f>
        <v>Vrije Universiteit Amsterdam</v>
      </c>
      <c r="D4" s="41" t="str">
        <f>IFERROR(INDEX('Position Database'!D:D,MATCH($A4,'Position Database'!$A:$A,0)),"")</f>
        <v>Netherlands</v>
      </c>
      <c r="E4" s="51">
        <v>46239</v>
      </c>
      <c r="F4" s="34" t="s">
        <v>188</v>
      </c>
      <c r="G4" s="34" t="s">
        <v>189</v>
      </c>
      <c r="H4" s="34" t="s">
        <v>190</v>
      </c>
      <c r="I4" s="40">
        <v>46253</v>
      </c>
      <c r="J4" s="40">
        <v>46267</v>
      </c>
      <c r="K4" s="40"/>
      <c r="L4" s="52">
        <f t="shared" ref="L4:L35" si="0">IF(COUNT(E4,I4,J4,K4)=0,"",MAX(E4,I4,J4,K4))</f>
        <v>46267</v>
      </c>
      <c r="M4" s="41" t="str">
        <f t="shared" ref="M4:M35" ca="1" si="1">IF(OR($A4="",NOT(ISNUMBER(L4))),"",IF(OR(O4="Positive Reply",O4="Accepted",O4="Rejected"),"",TODAY()-L4))</f>
        <v/>
      </c>
      <c r="N4" s="52" t="str">
        <f t="shared" ref="N4:N35" si="2">IF(OR($A4="",NOT(ISNUMBER(L4))),"",IF(OR(O4="Positive Reply",O4="Accepted",O4="Rejected"),"",L4+14))</f>
        <v/>
      </c>
      <c r="O4" s="53" t="s">
        <v>39</v>
      </c>
      <c r="Q4" t="str">
        <f ca="1">IF(AND($A4&lt;&gt;"",ISNUMBER(M4)),COUNTIF($M$4:$M$200,"&gt;"&amp;M4)+COUNTIF($M$4:M4,M4),"")</f>
        <v/>
      </c>
    </row>
    <row r="5" spans="1:17" ht="28.05" customHeight="1" x14ac:dyDescent="0.3">
      <c r="A5" s="34">
        <v>2</v>
      </c>
      <c r="B5" s="49" t="str">
        <f>IFERROR(INDEX('Position Database'!B:B,MATCH($A5,'Position Database'!$A:$A,0)),"")</f>
        <v>MSCA-DN PhD in Pharmacological Therapy for Leukodystrophies</v>
      </c>
      <c r="C5" s="50" t="str">
        <f>IFERROR(INDEX('Position Database'!C:C,MATCH($A5,'Position Database'!$A:$A,0)),"")</f>
        <v>Amsterdam UMC</v>
      </c>
      <c r="D5" s="41" t="str">
        <f>IFERROR(INDEX('Position Database'!D:D,MATCH($A5,'Position Database'!$A:$A,0)),"")</f>
        <v>Netherlands</v>
      </c>
      <c r="E5" s="51">
        <v>46244</v>
      </c>
      <c r="F5" s="34" t="s">
        <v>188</v>
      </c>
      <c r="G5" s="34" t="s">
        <v>189</v>
      </c>
      <c r="H5" s="34" t="s">
        <v>190</v>
      </c>
      <c r="I5" s="40">
        <v>46258</v>
      </c>
      <c r="J5" s="40"/>
      <c r="K5" s="40"/>
      <c r="L5" s="52">
        <f t="shared" si="0"/>
        <v>46258</v>
      </c>
      <c r="M5" s="41">
        <f t="shared" ca="1" si="1"/>
        <v>35</v>
      </c>
      <c r="N5" s="52">
        <f t="shared" si="2"/>
        <v>46272</v>
      </c>
      <c r="O5" s="53" t="s">
        <v>38</v>
      </c>
      <c r="Q5">
        <f ca="1">IF(AND($A5&lt;&gt;"",ISNUMBER(M5)),COUNTIF($M$4:$M$200,"&gt;"&amp;M5)+COUNTIF($M$4:M5,M5),"")</f>
        <v>1</v>
      </c>
    </row>
    <row r="6" spans="1:17" ht="28.05" customHeight="1" x14ac:dyDescent="0.3">
      <c r="A6" s="34">
        <v>3</v>
      </c>
      <c r="B6" s="49" t="str">
        <f>IFERROR(INDEX('Position Database'!B:B,MATCH($A6,'Position Database'!$A:$A,0)),"")</f>
        <v>PhD Positions in Human-Centred Artificial Intelligence</v>
      </c>
      <c r="C6" s="50" t="str">
        <f>IFERROR(INDEX('Position Database'!C:C,MATCH($A6,'Position Database'!$A:$A,0)),"")</f>
        <v>Aalborg University</v>
      </c>
      <c r="D6" s="41" t="str">
        <f>IFERROR(INDEX('Position Database'!D:D,MATCH($A6,'Position Database'!$A:$A,0)),"")</f>
        <v>Denmark</v>
      </c>
      <c r="E6" s="51">
        <v>46280</v>
      </c>
      <c r="F6" s="34" t="s">
        <v>191</v>
      </c>
      <c r="G6" s="34" t="s">
        <v>192</v>
      </c>
      <c r="H6" s="34" t="s">
        <v>193</v>
      </c>
      <c r="I6" s="40"/>
      <c r="J6" s="40"/>
      <c r="K6" s="40"/>
      <c r="L6" s="52">
        <f t="shared" si="0"/>
        <v>46280</v>
      </c>
      <c r="M6" s="41">
        <f t="shared" ca="1" si="1"/>
        <v>13</v>
      </c>
      <c r="N6" s="52">
        <f t="shared" si="2"/>
        <v>46294</v>
      </c>
      <c r="O6" s="53" t="s">
        <v>37</v>
      </c>
      <c r="Q6">
        <f ca="1">IF(AND($A6&lt;&gt;"",ISNUMBER(M6)),COUNTIF($M$4:$M$200,"&gt;"&amp;M6)+COUNTIF($M$4:M6,M6),"")</f>
        <v>9</v>
      </c>
    </row>
    <row r="7" spans="1:17" ht="28.05" customHeight="1" x14ac:dyDescent="0.3">
      <c r="A7" s="34">
        <v>4</v>
      </c>
      <c r="B7" s="49" t="str">
        <f>IFERROR(INDEX('Position Database'!B:B,MATCH($A7,'Position Database'!$A:$A,0)),"")</f>
        <v>PhD Candidate: Multi-Methods Project on Negation Across Languages</v>
      </c>
      <c r="C7" s="50" t="str">
        <f>IFERROR(INDEX('Position Database'!C:C,MATCH($A7,'Position Database'!$A:$A,0)),"")</f>
        <v>University of Amsterdam</v>
      </c>
      <c r="D7" s="41" t="str">
        <f>IFERROR(INDEX('Position Database'!D:D,MATCH($A7,'Position Database'!$A:$A,0)),"")</f>
        <v>Netherlands</v>
      </c>
      <c r="E7" s="51">
        <v>46246</v>
      </c>
      <c r="F7" s="34" t="s">
        <v>191</v>
      </c>
      <c r="G7" s="34" t="s">
        <v>189</v>
      </c>
      <c r="H7" s="34"/>
      <c r="I7" s="40">
        <v>46260</v>
      </c>
      <c r="J7" s="40"/>
      <c r="K7" s="40"/>
      <c r="L7" s="52">
        <f t="shared" si="0"/>
        <v>46260</v>
      </c>
      <c r="M7" s="41">
        <f t="shared" ca="1" si="1"/>
        <v>33</v>
      </c>
      <c r="N7" s="52">
        <f t="shared" si="2"/>
        <v>46274</v>
      </c>
      <c r="O7" s="53" t="s">
        <v>40</v>
      </c>
      <c r="Q7">
        <f ca="1">IF(AND($A7&lt;&gt;"",ISNUMBER(M7)),COUNTIF($M$4:$M$200,"&gt;"&amp;M7)+COUNTIF($M$4:M7,M7),"")</f>
        <v>2</v>
      </c>
    </row>
    <row r="8" spans="1:17" ht="28.05" customHeight="1" x14ac:dyDescent="0.3">
      <c r="A8" s="34">
        <v>5</v>
      </c>
      <c r="B8" s="49" t="str">
        <f>IFERROR(INDEX('Position Database'!B:B,MATCH($A8,'Position Database'!$A:$A,0)),"")</f>
        <v>PhD Position: Beyond the Odds - Pathways to Gambling-Related Harm</v>
      </c>
      <c r="C8" s="50" t="str">
        <f>IFERROR(INDEX('Position Database'!C:C,MATCH($A8,'Position Database'!$A:$A,0)),"")</f>
        <v>Radboud University</v>
      </c>
      <c r="D8" s="41" t="str">
        <f>IFERROR(INDEX('Position Database'!D:D,MATCH($A8,'Position Database'!$A:$A,0)),"")</f>
        <v>Netherlands</v>
      </c>
      <c r="E8" s="51">
        <v>46231</v>
      </c>
      <c r="F8" s="34" t="s">
        <v>188</v>
      </c>
      <c r="G8" s="34" t="s">
        <v>194</v>
      </c>
      <c r="H8" s="34" t="s">
        <v>195</v>
      </c>
      <c r="I8" s="40">
        <v>46245</v>
      </c>
      <c r="J8" s="40">
        <v>46259</v>
      </c>
      <c r="K8" s="40">
        <v>46273</v>
      </c>
      <c r="L8" s="52">
        <f t="shared" si="0"/>
        <v>46273</v>
      </c>
      <c r="M8" s="41" t="str">
        <f t="shared" ca="1" si="1"/>
        <v/>
      </c>
      <c r="N8" s="52" t="str">
        <f t="shared" si="2"/>
        <v/>
      </c>
      <c r="O8" s="53" t="s">
        <v>41</v>
      </c>
      <c r="Q8" t="str">
        <f ca="1">IF(AND($A8&lt;&gt;"",ISNUMBER(M8)),COUNTIF($M$4:$M$200,"&gt;"&amp;M8)+COUNTIF($M$4:M8,M8),"")</f>
        <v/>
      </c>
    </row>
    <row r="9" spans="1:17" ht="28.05" customHeight="1" x14ac:dyDescent="0.3">
      <c r="A9" s="34">
        <v>6</v>
      </c>
      <c r="B9" s="49" t="str">
        <f>IFERROR(INDEX('Position Database'!B:B,MATCH($A9,'Position Database'!$A:$A,0)),"")</f>
        <v>PhD Position in Time-Reflection of Subwavelength THz Waves</v>
      </c>
      <c r="C9" s="50" t="str">
        <f>IFERROR(INDEX('Position Database'!C:C,MATCH($A9,'Position Database'!$A:$A,0)),"")</f>
        <v>ETH Zurich</v>
      </c>
      <c r="D9" s="41" t="str">
        <f>IFERROR(INDEX('Position Database'!D:D,MATCH($A9,'Position Database'!$A:$A,0)),"")</f>
        <v>Switzerland</v>
      </c>
      <c r="E9" s="51">
        <v>46266</v>
      </c>
      <c r="F9" s="34" t="s">
        <v>191</v>
      </c>
      <c r="G9" s="34" t="s">
        <v>192</v>
      </c>
      <c r="H9" s="34" t="s">
        <v>193</v>
      </c>
      <c r="I9" s="40">
        <v>46280</v>
      </c>
      <c r="J9" s="40"/>
      <c r="K9" s="40"/>
      <c r="L9" s="52">
        <f t="shared" si="0"/>
        <v>46280</v>
      </c>
      <c r="M9" s="41">
        <f t="shared" ca="1" si="1"/>
        <v>13</v>
      </c>
      <c r="N9" s="52">
        <f t="shared" si="2"/>
        <v>46294</v>
      </c>
      <c r="O9" s="53" t="s">
        <v>42</v>
      </c>
      <c r="Q9">
        <f ca="1">IF(AND($A9&lt;&gt;"",ISNUMBER(M9)),COUNTIF($M$4:$M$200,"&gt;"&amp;M9)+COUNTIF($M$4:M9,M9),"")</f>
        <v>10</v>
      </c>
    </row>
    <row r="10" spans="1:17" ht="28.05" customHeight="1" x14ac:dyDescent="0.3">
      <c r="A10" s="34">
        <v>7</v>
      </c>
      <c r="B10" s="49" t="str">
        <f>IFERROR(INDEX('Position Database'!B:B,MATCH($A10,'Position Database'!$A:$A,0)),"")</f>
        <v>Postdoc in Machine Learning and Surrogate Modelling</v>
      </c>
      <c r="C10" s="50" t="str">
        <f>IFERROR(INDEX('Position Database'!C:C,MATCH($A10,'Position Database'!$A:$A,0)),"")</f>
        <v>University of Luxembourg</v>
      </c>
      <c r="D10" s="41" t="str">
        <f>IFERROR(INDEX('Position Database'!D:D,MATCH($A10,'Position Database'!$A:$A,0)),"")</f>
        <v>Luxembourg</v>
      </c>
      <c r="E10" s="51">
        <v>46283</v>
      </c>
      <c r="F10" s="34" t="s">
        <v>196</v>
      </c>
      <c r="G10" s="34" t="s">
        <v>192</v>
      </c>
      <c r="H10" s="34" t="s">
        <v>193</v>
      </c>
      <c r="I10" s="40"/>
      <c r="J10" s="40"/>
      <c r="K10" s="40"/>
      <c r="L10" s="52">
        <f t="shared" si="0"/>
        <v>46283</v>
      </c>
      <c r="M10" s="41">
        <f t="shared" ca="1" si="1"/>
        <v>10</v>
      </c>
      <c r="N10" s="52">
        <f t="shared" si="2"/>
        <v>46297</v>
      </c>
      <c r="O10" s="53" t="s">
        <v>37</v>
      </c>
      <c r="Q10">
        <f ca="1">IF(AND($A10&lt;&gt;"",ISNUMBER(M10)),COUNTIF($M$4:$M$200,"&gt;"&amp;M10)+COUNTIF($M$4:M10,M10),"")</f>
        <v>11</v>
      </c>
    </row>
    <row r="11" spans="1:17" ht="28.05" customHeight="1" x14ac:dyDescent="0.3">
      <c r="A11" s="34">
        <v>8</v>
      </c>
      <c r="B11" s="49" t="str">
        <f>IFERROR(INDEX('Position Database'!B:B,MATCH($A11,'Position Database'!$A:$A,0)),"")</f>
        <v>PhD: Microfluidics to Observe and Manipulate Coacervate Droplets</v>
      </c>
      <c r="C11" s="50" t="str">
        <f>IFERROR(INDEX('Position Database'!C:C,MATCH($A11,'Position Database'!$A:$A,0)),"")</f>
        <v>University of Groningen</v>
      </c>
      <c r="D11" s="41" t="str">
        <f>IFERROR(INDEX('Position Database'!D:D,MATCH($A11,'Position Database'!$A:$A,0)),"")</f>
        <v>Netherlands</v>
      </c>
      <c r="E11" s="51">
        <v>46254</v>
      </c>
      <c r="F11" s="34" t="s">
        <v>188</v>
      </c>
      <c r="G11" s="34" t="s">
        <v>189</v>
      </c>
      <c r="H11" s="34" t="s">
        <v>190</v>
      </c>
      <c r="I11" s="40">
        <v>46268</v>
      </c>
      <c r="J11" s="40"/>
      <c r="K11" s="40"/>
      <c r="L11" s="52">
        <f t="shared" si="0"/>
        <v>46268</v>
      </c>
      <c r="M11" s="41">
        <f t="shared" ca="1" si="1"/>
        <v>25</v>
      </c>
      <c r="N11" s="52">
        <f t="shared" si="2"/>
        <v>46282</v>
      </c>
      <c r="O11" s="53" t="s">
        <v>38</v>
      </c>
      <c r="Q11">
        <f ca="1">IF(AND($A11&lt;&gt;"",ISNUMBER(M11)),COUNTIF($M$4:$M$200,"&gt;"&amp;M11)+COUNTIF($M$4:M11,M11),"")</f>
        <v>4</v>
      </c>
    </row>
    <row r="12" spans="1:17" ht="28.05" customHeight="1" x14ac:dyDescent="0.3">
      <c r="A12" s="34">
        <v>9</v>
      </c>
      <c r="B12" s="49" t="str">
        <f>IFERROR(INDEX('Position Database'!B:B,MATCH($A12,'Position Database'!$A:$A,0)),"")</f>
        <v>Two Postdoctoral Positions in Mitochondrial Cell Biology</v>
      </c>
      <c r="C12" s="50" t="str">
        <f>IFERROR(INDEX('Position Database'!C:C,MATCH($A12,'Position Database'!$A:$A,0)),"")</f>
        <v>Institut Imagine</v>
      </c>
      <c r="D12" s="41" t="str">
        <f>IFERROR(INDEX('Position Database'!D:D,MATCH($A12,'Position Database'!$A:$A,0)),"")</f>
        <v>France</v>
      </c>
      <c r="E12" s="51">
        <v>46259</v>
      </c>
      <c r="F12" s="34" t="s">
        <v>191</v>
      </c>
      <c r="G12" s="34" t="s">
        <v>189</v>
      </c>
      <c r="H12" s="34"/>
      <c r="I12" s="40">
        <v>46273</v>
      </c>
      <c r="J12" s="40"/>
      <c r="K12" s="40"/>
      <c r="L12" s="52">
        <f t="shared" si="0"/>
        <v>46273</v>
      </c>
      <c r="M12" s="41" t="str">
        <f t="shared" ca="1" si="1"/>
        <v/>
      </c>
      <c r="N12" s="52" t="str">
        <f t="shared" si="2"/>
        <v/>
      </c>
      <c r="O12" s="53" t="s">
        <v>39</v>
      </c>
      <c r="Q12" t="str">
        <f ca="1">IF(AND($A12&lt;&gt;"",ISNUMBER(M12)),COUNTIF($M$4:$M$200,"&gt;"&amp;M12)+COUNTIF($M$4:M12,M12),"")</f>
        <v/>
      </c>
    </row>
    <row r="13" spans="1:17" ht="28.05" customHeight="1" x14ac:dyDescent="0.3">
      <c r="A13" s="34">
        <v>10</v>
      </c>
      <c r="B13" s="49" t="str">
        <f>IFERROR(INDEX('Position Database'!B:B,MATCH($A13,'Position Database'!$A:$A,0)),"")</f>
        <v>Doctoral Student in Environmental Law Specialising in Nuclear Power</v>
      </c>
      <c r="C13" s="50" t="str">
        <f>IFERROR(INDEX('Position Database'!C:C,MATCH($A13,'Position Database'!$A:$A,0)),"")</f>
        <v>Uppsala University</v>
      </c>
      <c r="D13" s="41" t="str">
        <f>IFERROR(INDEX('Position Database'!D:D,MATCH($A13,'Position Database'!$A:$A,0)),"")</f>
        <v>Sweden</v>
      </c>
      <c r="E13" s="51">
        <v>46223</v>
      </c>
      <c r="F13" s="34" t="s">
        <v>188</v>
      </c>
      <c r="G13" s="34" t="s">
        <v>194</v>
      </c>
      <c r="H13" s="34" t="s">
        <v>195</v>
      </c>
      <c r="I13" s="40">
        <v>46237</v>
      </c>
      <c r="J13" s="40">
        <v>46251</v>
      </c>
      <c r="K13" s="40"/>
      <c r="L13" s="52">
        <f t="shared" si="0"/>
        <v>46251</v>
      </c>
      <c r="M13" s="41" t="str">
        <f t="shared" ca="1" si="1"/>
        <v/>
      </c>
      <c r="N13" s="52" t="str">
        <f t="shared" si="2"/>
        <v/>
      </c>
      <c r="O13" s="53" t="s">
        <v>43</v>
      </c>
      <c r="Q13" t="str">
        <f ca="1">IF(AND($A13&lt;&gt;"",ISNUMBER(M13)),COUNTIF($M$4:$M$200,"&gt;"&amp;M13)+COUNTIF($M$4:M13,M13),"")</f>
        <v/>
      </c>
    </row>
    <row r="14" spans="1:17" ht="28.05" customHeight="1" x14ac:dyDescent="0.3">
      <c r="A14" s="34">
        <v>11</v>
      </c>
      <c r="B14" s="49" t="str">
        <f>IFERROR(INDEX('Position Database'!B:B,MATCH($A14,'Position Database'!$A:$A,0)),"")</f>
        <v>PhD in Integrated Circuit Group on Transceivers for Optical Communications</v>
      </c>
      <c r="C14" s="50" t="str">
        <f>IFERROR(INDEX('Position Database'!C:C,MATCH($A14,'Position Database'!$A:$A,0)),"")</f>
        <v>Eindhoven University of Technology</v>
      </c>
      <c r="D14" s="41" t="str">
        <f>IFERROR(INDEX('Position Database'!D:D,MATCH($A14,'Position Database'!$A:$A,0)),"")</f>
        <v>Netherlands</v>
      </c>
      <c r="E14" s="51">
        <v>46285</v>
      </c>
      <c r="F14" s="34" t="s">
        <v>191</v>
      </c>
      <c r="G14" s="34" t="s">
        <v>192</v>
      </c>
      <c r="H14" s="34" t="s">
        <v>193</v>
      </c>
      <c r="I14" s="40"/>
      <c r="J14" s="40"/>
      <c r="K14" s="40"/>
      <c r="L14" s="52">
        <f t="shared" si="0"/>
        <v>46285</v>
      </c>
      <c r="M14" s="41">
        <f t="shared" ca="1" si="1"/>
        <v>8</v>
      </c>
      <c r="N14" s="52">
        <f t="shared" si="2"/>
        <v>46299</v>
      </c>
      <c r="O14" s="53" t="s">
        <v>37</v>
      </c>
      <c r="Q14">
        <f ca="1">IF(AND($A14&lt;&gt;"",ISNUMBER(M14)),COUNTIF($M$4:$M$200,"&gt;"&amp;M14)+COUNTIF($M$4:M14,M14),"")</f>
        <v>13</v>
      </c>
    </row>
    <row r="15" spans="1:17" ht="28.05" customHeight="1" x14ac:dyDescent="0.3">
      <c r="A15" s="34">
        <v>12</v>
      </c>
      <c r="B15" s="49" t="str">
        <f>IFERROR(INDEX('Position Database'!B:B,MATCH($A15,'Position Database'!$A:$A,0)),"")</f>
        <v>Postdoc in Structural Analysis of Carbon Materials for Energy Storage</v>
      </c>
      <c r="C15" s="50" t="str">
        <f>IFERROR(INDEX('Position Database'!C:C,MATCH($A15,'Position Database'!$A:$A,0)),"")</f>
        <v>Uppsala University</v>
      </c>
      <c r="D15" s="41" t="str">
        <f>IFERROR(INDEX('Position Database'!D:D,MATCH($A15,'Position Database'!$A:$A,0)),"")</f>
        <v>Sweden</v>
      </c>
      <c r="E15" s="51">
        <v>46270</v>
      </c>
      <c r="F15" s="34" t="s">
        <v>196</v>
      </c>
      <c r="G15" s="34" t="s">
        <v>192</v>
      </c>
      <c r="H15" s="34"/>
      <c r="I15" s="40">
        <v>46284</v>
      </c>
      <c r="J15" s="40"/>
      <c r="K15" s="40"/>
      <c r="L15" s="52">
        <f t="shared" si="0"/>
        <v>46284</v>
      </c>
      <c r="M15" s="41">
        <f t="shared" ca="1" si="1"/>
        <v>9</v>
      </c>
      <c r="N15" s="52">
        <f t="shared" si="2"/>
        <v>46298</v>
      </c>
      <c r="O15" s="53" t="s">
        <v>38</v>
      </c>
      <c r="Q15">
        <f ca="1">IF(AND($A15&lt;&gt;"",ISNUMBER(M15)),COUNTIF($M$4:$M$200,"&gt;"&amp;M15)+COUNTIF($M$4:M15,M15),"")</f>
        <v>12</v>
      </c>
    </row>
    <row r="16" spans="1:17" ht="28.05" customHeight="1" x14ac:dyDescent="0.3">
      <c r="A16" s="34">
        <v>13</v>
      </c>
      <c r="B16" s="49" t="str">
        <f>IFERROR(INDEX('Position Database'!B:B,MATCH($A16,'Position Database'!$A:$A,0)),"")</f>
        <v>Postdoc: Multiphysics Modelling of Laser-Regolith Interaction (Moon)</v>
      </c>
      <c r="C16" s="50" t="str">
        <f>IFERROR(INDEX('Position Database'!C:C,MATCH($A16,'Position Database'!$A:$A,0)),"")</f>
        <v>Technical University of Denmark</v>
      </c>
      <c r="D16" s="41" t="str">
        <f>IFERROR(INDEX('Position Database'!D:D,MATCH($A16,'Position Database'!$A:$A,0)),"")</f>
        <v>Denmark</v>
      </c>
      <c r="E16" s="51">
        <v>46264</v>
      </c>
      <c r="F16" s="34" t="s">
        <v>191</v>
      </c>
      <c r="G16" s="34" t="s">
        <v>189</v>
      </c>
      <c r="H16" s="34" t="s">
        <v>190</v>
      </c>
      <c r="I16" s="40">
        <v>46278</v>
      </c>
      <c r="J16" s="40"/>
      <c r="K16" s="40"/>
      <c r="L16" s="52">
        <f t="shared" si="0"/>
        <v>46278</v>
      </c>
      <c r="M16" s="41">
        <f t="shared" ca="1" si="1"/>
        <v>15</v>
      </c>
      <c r="N16" s="52">
        <f t="shared" si="2"/>
        <v>46292</v>
      </c>
      <c r="O16" s="53" t="s">
        <v>40</v>
      </c>
      <c r="Q16">
        <f ca="1">IF(AND($A16&lt;&gt;"",ISNUMBER(M16)),COUNTIF($M$4:$M$200,"&gt;"&amp;M16)+COUNTIF($M$4:M16,M16),"")</f>
        <v>8</v>
      </c>
    </row>
    <row r="17" spans="1:17" ht="28.05" customHeight="1" x14ac:dyDescent="0.3">
      <c r="A17" s="34">
        <v>14</v>
      </c>
      <c r="B17" s="49" t="str">
        <f>IFERROR(INDEX('Position Database'!B:B,MATCH($A17,'Position Database'!$A:$A,0)),"")</f>
        <v>Postdoctoral Researcher in Quantum Communications</v>
      </c>
      <c r="C17" s="50" t="str">
        <f>IFERROR(INDEX('Position Database'!C:C,MATCH($A17,'Position Database'!$A:$A,0)),"")</f>
        <v>University of Luxembourg</v>
      </c>
      <c r="D17" s="41" t="str">
        <f>IFERROR(INDEX('Position Database'!D:D,MATCH($A17,'Position Database'!$A:$A,0)),"")</f>
        <v>Luxembourg</v>
      </c>
      <c r="E17" s="51">
        <v>46287</v>
      </c>
      <c r="F17" s="34" t="s">
        <v>188</v>
      </c>
      <c r="G17" s="34" t="s">
        <v>192</v>
      </c>
      <c r="H17" s="34" t="s">
        <v>193</v>
      </c>
      <c r="I17" s="40"/>
      <c r="J17" s="40"/>
      <c r="K17" s="40"/>
      <c r="L17" s="52">
        <f t="shared" si="0"/>
        <v>46287</v>
      </c>
      <c r="M17" s="41">
        <f t="shared" ca="1" si="1"/>
        <v>6</v>
      </c>
      <c r="N17" s="52">
        <f t="shared" si="2"/>
        <v>46301</v>
      </c>
      <c r="O17" s="53" t="s">
        <v>37</v>
      </c>
      <c r="Q17">
        <f ca="1">IF(AND($A17&lt;&gt;"",ISNUMBER(M17)),COUNTIF($M$4:$M$200,"&gt;"&amp;M17)+COUNTIF($M$4:M17,M17),"")</f>
        <v>14</v>
      </c>
    </row>
    <row r="18" spans="1:17" ht="28.05" customHeight="1" x14ac:dyDescent="0.3">
      <c r="A18" s="34">
        <v>15</v>
      </c>
      <c r="B18" s="49" t="str">
        <f>IFERROR(INDEX('Position Database'!B:B,MATCH($A18,'Position Database'!$A:$A,0)),"")</f>
        <v>Research Associate in Steel Structures and Sustainable Design</v>
      </c>
      <c r="C18" s="50" t="str">
        <f>IFERROR(INDEX('Position Database'!C:C,MATCH($A18,'Position Database'!$A:$A,0)),"")</f>
        <v>University of Sheffield</v>
      </c>
      <c r="D18" s="41" t="str">
        <f>IFERROR(INDEX('Position Database'!D:D,MATCH($A18,'Position Database'!$A:$A,0)),"")</f>
        <v>United Kingdom</v>
      </c>
      <c r="E18" s="51">
        <v>46249</v>
      </c>
      <c r="F18" s="34" t="s">
        <v>197</v>
      </c>
      <c r="G18" s="34" t="s">
        <v>189</v>
      </c>
      <c r="H18" s="34"/>
      <c r="I18" s="40">
        <v>46263</v>
      </c>
      <c r="J18" s="40">
        <v>46277</v>
      </c>
      <c r="K18" s="40"/>
      <c r="L18" s="52">
        <f t="shared" si="0"/>
        <v>46277</v>
      </c>
      <c r="M18" s="41">
        <f t="shared" ca="1" si="1"/>
        <v>16</v>
      </c>
      <c r="N18" s="52">
        <f t="shared" si="2"/>
        <v>46291</v>
      </c>
      <c r="O18" s="53" t="s">
        <v>38</v>
      </c>
      <c r="Q18">
        <f ca="1">IF(AND($A18&lt;&gt;"",ISNUMBER(M18)),COUNTIF($M$4:$M$200,"&gt;"&amp;M18)+COUNTIF($M$4:M18,M18),"")</f>
        <v>6</v>
      </c>
    </row>
    <row r="19" spans="1:17" ht="28.05" customHeight="1" x14ac:dyDescent="0.3">
      <c r="A19" s="34">
        <v>16</v>
      </c>
      <c r="B19" s="49" t="str">
        <f>IFERROR(INDEX('Position Database'!B:B,MATCH($A19,'Position Database'!$A:$A,0)),"")</f>
        <v>Postdoc in Synthesis and Crystal Growth of Molecular Conductors</v>
      </c>
      <c r="C19" s="50" t="str">
        <f>IFERROR(INDEX('Position Database'!C:C,MATCH($A19,'Position Database'!$A:$A,0)),"")</f>
        <v>Chalmers University of Technology</v>
      </c>
      <c r="D19" s="41" t="str">
        <f>IFERROR(INDEX('Position Database'!D:D,MATCH($A19,'Position Database'!$A:$A,0)),"")</f>
        <v>Sweden</v>
      </c>
      <c r="E19" s="51">
        <v>46275</v>
      </c>
      <c r="F19" s="34" t="s">
        <v>196</v>
      </c>
      <c r="G19" s="34" t="s">
        <v>192</v>
      </c>
      <c r="H19" s="34" t="s">
        <v>193</v>
      </c>
      <c r="I19" s="40"/>
      <c r="J19" s="40"/>
      <c r="K19" s="40"/>
      <c r="L19" s="52">
        <f t="shared" si="0"/>
        <v>46275</v>
      </c>
      <c r="M19" s="41">
        <f t="shared" ca="1" si="1"/>
        <v>18</v>
      </c>
      <c r="N19" s="52">
        <f t="shared" si="2"/>
        <v>46289</v>
      </c>
      <c r="O19" s="53" t="s">
        <v>42</v>
      </c>
      <c r="Q19">
        <f ca="1">IF(AND($A19&lt;&gt;"",ISNUMBER(M19)),COUNTIF($M$4:$M$200,"&gt;"&amp;M19)+COUNTIF($M$4:M19,M19),"")</f>
        <v>5</v>
      </c>
    </row>
    <row r="20" spans="1:17" ht="28.05" customHeight="1" x14ac:dyDescent="0.3">
      <c r="A20" s="34">
        <v>17</v>
      </c>
      <c r="B20" s="49" t="str">
        <f>IFERROR(INDEX('Position Database'!B:B,MATCH($A20,'Position Database'!$A:$A,0)),"")</f>
        <v>PhD Candidate in Children's Media in English (CLEAR Group)</v>
      </c>
      <c r="C20" s="50" t="str">
        <f>IFERROR(INDEX('Position Database'!C:C,MATCH($A20,'Position Database'!$A:$A,0)),"")</f>
        <v>NTNU</v>
      </c>
      <c r="D20" s="41" t="str">
        <f>IFERROR(INDEX('Position Database'!D:D,MATCH($A20,'Position Database'!$A:$A,0)),"")</f>
        <v>Norway</v>
      </c>
      <c r="E20" s="51">
        <v>46242</v>
      </c>
      <c r="F20" s="34" t="s">
        <v>188</v>
      </c>
      <c r="G20" s="34" t="s">
        <v>189</v>
      </c>
      <c r="H20" s="34" t="s">
        <v>190</v>
      </c>
      <c r="I20" s="40">
        <v>46256</v>
      </c>
      <c r="J20" s="40"/>
      <c r="K20" s="40"/>
      <c r="L20" s="52">
        <f t="shared" si="0"/>
        <v>46256</v>
      </c>
      <c r="M20" s="41" t="str">
        <f t="shared" ca="1" si="1"/>
        <v/>
      </c>
      <c r="N20" s="52" t="str">
        <f t="shared" si="2"/>
        <v/>
      </c>
      <c r="O20" s="53" t="s">
        <v>41</v>
      </c>
      <c r="Q20" t="str">
        <f ca="1">IF(AND($A20&lt;&gt;"",ISNUMBER(M20)),COUNTIF($M$4:$M$200,"&gt;"&amp;M20)+COUNTIF($M$4:M20,M20),"")</f>
        <v/>
      </c>
    </row>
    <row r="21" spans="1:17" ht="28.05" customHeight="1" x14ac:dyDescent="0.3">
      <c r="A21" s="34">
        <v>18</v>
      </c>
      <c r="B21" s="49" t="str">
        <f>IFERROR(INDEX('Position Database'!B:B,MATCH($A21,'Position Database'!$A:$A,0)),"")</f>
        <v>PhD: Chemical Activity of Air Pollutants via Laser Spectroscopy</v>
      </c>
      <c r="C21" s="50" t="str">
        <f>IFERROR(INDEX('Position Database'!C:C,MATCH($A21,'Position Database'!$A:$A,0)),"")</f>
        <v>Forschungszentrum Jülich</v>
      </c>
      <c r="D21" s="41" t="str">
        <f>IFERROR(INDEX('Position Database'!D:D,MATCH($A21,'Position Database'!$A:$A,0)),"")</f>
        <v>Germany</v>
      </c>
      <c r="E21" s="51">
        <v>46289</v>
      </c>
      <c r="F21" s="34" t="s">
        <v>191</v>
      </c>
      <c r="G21" s="34" t="s">
        <v>192</v>
      </c>
      <c r="H21" s="34"/>
      <c r="I21" s="40"/>
      <c r="J21" s="40"/>
      <c r="K21" s="40"/>
      <c r="L21" s="52">
        <f t="shared" si="0"/>
        <v>46289</v>
      </c>
      <c r="M21" s="41">
        <f t="shared" ca="1" si="1"/>
        <v>4</v>
      </c>
      <c r="N21" s="52">
        <f t="shared" si="2"/>
        <v>46303</v>
      </c>
      <c r="O21" s="53" t="s">
        <v>37</v>
      </c>
      <c r="Q21">
        <f ca="1">IF(AND($A21&lt;&gt;"",ISNUMBER(M21)),COUNTIF($M$4:$M$200,"&gt;"&amp;M21)+COUNTIF($M$4:M21,M21),"")</f>
        <v>15</v>
      </c>
    </row>
    <row r="22" spans="1:17" ht="28.05" customHeight="1" x14ac:dyDescent="0.3">
      <c r="A22" s="34">
        <v>19</v>
      </c>
      <c r="B22" s="49" t="str">
        <f>IFERROR(INDEX('Position Database'!B:B,MATCH($A22,'Position Database'!$A:$A,0)),"")</f>
        <v>Doctoral Fellow: Lunar Resource Production (LuMoCX / ERC)</v>
      </c>
      <c r="C22" s="50" t="str">
        <f>IFERROR(INDEX('Position Database'!C:C,MATCH($A22,'Position Database'!$A:$A,0)),"")</f>
        <v>Ghent University</v>
      </c>
      <c r="D22" s="41" t="str">
        <f>IFERROR(INDEX('Position Database'!D:D,MATCH($A22,'Position Database'!$A:$A,0)),"")</f>
        <v>Belgium</v>
      </c>
      <c r="E22" s="51">
        <v>46277</v>
      </c>
      <c r="F22" s="34" t="s">
        <v>188</v>
      </c>
      <c r="G22" s="34" t="s">
        <v>192</v>
      </c>
      <c r="H22" s="34" t="s">
        <v>193</v>
      </c>
      <c r="I22" s="40"/>
      <c r="J22" s="40"/>
      <c r="K22" s="40"/>
      <c r="L22" s="52">
        <f t="shared" si="0"/>
        <v>46277</v>
      </c>
      <c r="M22" s="41">
        <f t="shared" ca="1" si="1"/>
        <v>16</v>
      </c>
      <c r="N22" s="52">
        <f t="shared" si="2"/>
        <v>46291</v>
      </c>
      <c r="O22" s="53" t="s">
        <v>38</v>
      </c>
      <c r="Q22">
        <f ca="1">IF(AND($A22&lt;&gt;"",ISNUMBER(M22)),COUNTIF($M$4:$M$200,"&gt;"&amp;M22)+COUNTIF($M$4:M22,M22),"")</f>
        <v>7</v>
      </c>
    </row>
    <row r="23" spans="1:17" ht="28.05" customHeight="1" x14ac:dyDescent="0.3">
      <c r="A23" s="34">
        <v>20</v>
      </c>
      <c r="B23" s="49" t="str">
        <f>IFERROR(INDEX('Position Database'!B:B,MATCH($A23,'Position Database'!$A:$A,0)),"")</f>
        <v>Postdoctoral Fellows in Proteomics: Neurodevelopment and Cancer</v>
      </c>
      <c r="C23" s="50" t="str">
        <f>IFERROR(INDEX('Position Database'!C:C,MATCH($A23,'Position Database'!$A:$A,0)),"")</f>
        <v>University of Helsinki</v>
      </c>
      <c r="D23" s="41" t="str">
        <f>IFERROR(INDEX('Position Database'!D:D,MATCH($A23,'Position Database'!$A:$A,0)),"")</f>
        <v>Finland</v>
      </c>
      <c r="E23" s="51">
        <v>46252</v>
      </c>
      <c r="F23" s="34" t="s">
        <v>197</v>
      </c>
      <c r="G23" s="34" t="s">
        <v>189</v>
      </c>
      <c r="H23" s="34" t="s">
        <v>190</v>
      </c>
      <c r="I23" s="40">
        <v>46266</v>
      </c>
      <c r="J23" s="40"/>
      <c r="K23" s="40"/>
      <c r="L23" s="52">
        <f t="shared" si="0"/>
        <v>46266</v>
      </c>
      <c r="M23" s="41">
        <f t="shared" ca="1" si="1"/>
        <v>27</v>
      </c>
      <c r="N23" s="52">
        <f t="shared" si="2"/>
        <v>46280</v>
      </c>
      <c r="O23" s="53" t="s">
        <v>40</v>
      </c>
      <c r="Q23">
        <f ca="1">IF(AND($A23&lt;&gt;"",ISNUMBER(M23)),COUNTIF($M$4:$M$200,"&gt;"&amp;M23)+COUNTIF($M$4:M23,M23),"")</f>
        <v>3</v>
      </c>
    </row>
    <row r="24" spans="1:17" x14ac:dyDescent="0.3">
      <c r="B24" s="49" t="str">
        <f>IFERROR(INDEX('Position Database'!B:B,MATCH($A24,'Position Database'!$A:$A,0)),"")</f>
        <v/>
      </c>
      <c r="C24" s="50" t="str">
        <f>IFERROR(INDEX('Position Database'!C:C,MATCH($A24,'Position Database'!$A:$A,0)),"")</f>
        <v/>
      </c>
      <c r="D24" s="41" t="str">
        <f>IFERROR(INDEX('Position Database'!D:D,MATCH($A24,'Position Database'!$A:$A,0)),"")</f>
        <v/>
      </c>
      <c r="E24" s="54"/>
      <c r="L24" s="52" t="str">
        <f t="shared" si="0"/>
        <v/>
      </c>
      <c r="M24" s="41" t="str">
        <f t="shared" ca="1" si="1"/>
        <v/>
      </c>
      <c r="N24" s="52" t="str">
        <f t="shared" si="2"/>
        <v/>
      </c>
      <c r="O24" s="55"/>
      <c r="Q24" t="str">
        <f ca="1">IF(AND($A24&lt;&gt;"",ISNUMBER(M24)),COUNTIF($M$4:$M$200,"&gt;"&amp;M24)+COUNTIF($M$4:M24,M24),"")</f>
        <v/>
      </c>
    </row>
    <row r="25" spans="1:17" x14ac:dyDescent="0.3">
      <c r="B25" s="49" t="str">
        <f>IFERROR(INDEX('Position Database'!B:B,MATCH($A25,'Position Database'!$A:$A,0)),"")</f>
        <v/>
      </c>
      <c r="C25" s="50" t="str">
        <f>IFERROR(INDEX('Position Database'!C:C,MATCH($A25,'Position Database'!$A:$A,0)),"")</f>
        <v/>
      </c>
      <c r="D25" s="41" t="str">
        <f>IFERROR(INDEX('Position Database'!D:D,MATCH($A25,'Position Database'!$A:$A,0)),"")</f>
        <v/>
      </c>
      <c r="E25" s="54"/>
      <c r="L25" s="52" t="str">
        <f t="shared" si="0"/>
        <v/>
      </c>
      <c r="M25" s="41" t="str">
        <f t="shared" ca="1" si="1"/>
        <v/>
      </c>
      <c r="N25" s="52" t="str">
        <f t="shared" si="2"/>
        <v/>
      </c>
      <c r="O25" s="55"/>
      <c r="Q25" t="str">
        <f ca="1">IF(AND($A25&lt;&gt;"",ISNUMBER(M25)),COUNTIF($M$4:$M$200,"&gt;"&amp;M25)+COUNTIF($M$4:M25,M25),"")</f>
        <v/>
      </c>
    </row>
    <row r="26" spans="1:17" x14ac:dyDescent="0.3">
      <c r="B26" s="49" t="str">
        <f>IFERROR(INDEX('Position Database'!B:B,MATCH($A26,'Position Database'!$A:$A,0)),"")</f>
        <v/>
      </c>
      <c r="C26" s="50" t="str">
        <f>IFERROR(INDEX('Position Database'!C:C,MATCH($A26,'Position Database'!$A:$A,0)),"")</f>
        <v/>
      </c>
      <c r="D26" s="41" t="str">
        <f>IFERROR(INDEX('Position Database'!D:D,MATCH($A26,'Position Database'!$A:$A,0)),"")</f>
        <v/>
      </c>
      <c r="E26" s="54"/>
      <c r="L26" s="52" t="str">
        <f t="shared" si="0"/>
        <v/>
      </c>
      <c r="M26" s="41" t="str">
        <f t="shared" ca="1" si="1"/>
        <v/>
      </c>
      <c r="N26" s="52" t="str">
        <f t="shared" si="2"/>
        <v/>
      </c>
      <c r="O26" s="55"/>
      <c r="Q26" t="str">
        <f ca="1">IF(AND($A26&lt;&gt;"",ISNUMBER(M26)),COUNTIF($M$4:$M$200,"&gt;"&amp;M26)+COUNTIF($M$4:M26,M26),"")</f>
        <v/>
      </c>
    </row>
    <row r="27" spans="1:17" x14ac:dyDescent="0.3">
      <c r="B27" s="49" t="str">
        <f>IFERROR(INDEX('Position Database'!B:B,MATCH($A27,'Position Database'!$A:$A,0)),"")</f>
        <v/>
      </c>
      <c r="C27" s="50" t="str">
        <f>IFERROR(INDEX('Position Database'!C:C,MATCH($A27,'Position Database'!$A:$A,0)),"")</f>
        <v/>
      </c>
      <c r="D27" s="41" t="str">
        <f>IFERROR(INDEX('Position Database'!D:D,MATCH($A27,'Position Database'!$A:$A,0)),"")</f>
        <v/>
      </c>
      <c r="E27" s="54"/>
      <c r="L27" s="52" t="str">
        <f t="shared" si="0"/>
        <v/>
      </c>
      <c r="M27" s="41" t="str">
        <f t="shared" ca="1" si="1"/>
        <v/>
      </c>
      <c r="N27" s="52" t="str">
        <f t="shared" si="2"/>
        <v/>
      </c>
      <c r="O27" s="55"/>
      <c r="Q27" t="str">
        <f ca="1">IF(AND($A27&lt;&gt;"",ISNUMBER(M27)),COUNTIF($M$4:$M$200,"&gt;"&amp;M27)+COUNTIF($M$4:M27,M27),"")</f>
        <v/>
      </c>
    </row>
    <row r="28" spans="1:17" x14ac:dyDescent="0.3">
      <c r="B28" s="49" t="str">
        <f>IFERROR(INDEX('Position Database'!B:B,MATCH($A28,'Position Database'!$A:$A,0)),"")</f>
        <v/>
      </c>
      <c r="C28" s="50" t="str">
        <f>IFERROR(INDEX('Position Database'!C:C,MATCH($A28,'Position Database'!$A:$A,0)),"")</f>
        <v/>
      </c>
      <c r="D28" s="41" t="str">
        <f>IFERROR(INDEX('Position Database'!D:D,MATCH($A28,'Position Database'!$A:$A,0)),"")</f>
        <v/>
      </c>
      <c r="E28" s="54"/>
      <c r="L28" s="52" t="str">
        <f t="shared" si="0"/>
        <v/>
      </c>
      <c r="M28" s="41" t="str">
        <f t="shared" ca="1" si="1"/>
        <v/>
      </c>
      <c r="N28" s="52" t="str">
        <f t="shared" si="2"/>
        <v/>
      </c>
      <c r="O28" s="55"/>
      <c r="Q28" t="str">
        <f ca="1">IF(AND($A28&lt;&gt;"",ISNUMBER(M28)),COUNTIF($M$4:$M$200,"&gt;"&amp;M28)+COUNTIF($M$4:M28,M28),"")</f>
        <v/>
      </c>
    </row>
    <row r="29" spans="1:17" x14ac:dyDescent="0.3">
      <c r="B29" s="49" t="str">
        <f>IFERROR(INDEX('Position Database'!B:B,MATCH($A29,'Position Database'!$A:$A,0)),"")</f>
        <v/>
      </c>
      <c r="C29" s="50" t="str">
        <f>IFERROR(INDEX('Position Database'!C:C,MATCH($A29,'Position Database'!$A:$A,0)),"")</f>
        <v/>
      </c>
      <c r="D29" s="41" t="str">
        <f>IFERROR(INDEX('Position Database'!D:D,MATCH($A29,'Position Database'!$A:$A,0)),"")</f>
        <v/>
      </c>
      <c r="E29" s="54"/>
      <c r="L29" s="52" t="str">
        <f t="shared" si="0"/>
        <v/>
      </c>
      <c r="M29" s="41" t="str">
        <f t="shared" ca="1" si="1"/>
        <v/>
      </c>
      <c r="N29" s="52" t="str">
        <f t="shared" si="2"/>
        <v/>
      </c>
      <c r="O29" s="55"/>
      <c r="Q29" t="str">
        <f ca="1">IF(AND($A29&lt;&gt;"",ISNUMBER(M29)),COUNTIF($M$4:$M$200,"&gt;"&amp;M29)+COUNTIF($M$4:M29,M29),"")</f>
        <v/>
      </c>
    </row>
    <row r="30" spans="1:17" x14ac:dyDescent="0.3">
      <c r="B30" s="49" t="str">
        <f>IFERROR(INDEX('Position Database'!B:B,MATCH($A30,'Position Database'!$A:$A,0)),"")</f>
        <v/>
      </c>
      <c r="C30" s="50" t="str">
        <f>IFERROR(INDEX('Position Database'!C:C,MATCH($A30,'Position Database'!$A:$A,0)),"")</f>
        <v/>
      </c>
      <c r="D30" s="41" t="str">
        <f>IFERROR(INDEX('Position Database'!D:D,MATCH($A30,'Position Database'!$A:$A,0)),"")</f>
        <v/>
      </c>
      <c r="E30" s="54"/>
      <c r="L30" s="52" t="str">
        <f t="shared" si="0"/>
        <v/>
      </c>
      <c r="M30" s="41" t="str">
        <f t="shared" ca="1" si="1"/>
        <v/>
      </c>
      <c r="N30" s="52" t="str">
        <f t="shared" si="2"/>
        <v/>
      </c>
      <c r="O30" s="55"/>
      <c r="Q30" t="str">
        <f ca="1">IF(AND($A30&lt;&gt;"",ISNUMBER(M30)),COUNTIF($M$4:$M$200,"&gt;"&amp;M30)+COUNTIF($M$4:M30,M30),"")</f>
        <v/>
      </c>
    </row>
    <row r="31" spans="1:17" x14ac:dyDescent="0.3">
      <c r="B31" s="49" t="str">
        <f>IFERROR(INDEX('Position Database'!B:B,MATCH($A31,'Position Database'!$A:$A,0)),"")</f>
        <v/>
      </c>
      <c r="C31" s="50" t="str">
        <f>IFERROR(INDEX('Position Database'!C:C,MATCH($A31,'Position Database'!$A:$A,0)),"")</f>
        <v/>
      </c>
      <c r="D31" s="41" t="str">
        <f>IFERROR(INDEX('Position Database'!D:D,MATCH($A31,'Position Database'!$A:$A,0)),"")</f>
        <v/>
      </c>
      <c r="E31" s="54"/>
      <c r="L31" s="52" t="str">
        <f t="shared" si="0"/>
        <v/>
      </c>
      <c r="M31" s="41" t="str">
        <f t="shared" ca="1" si="1"/>
        <v/>
      </c>
      <c r="N31" s="52" t="str">
        <f t="shared" si="2"/>
        <v/>
      </c>
      <c r="O31" s="55"/>
      <c r="Q31" t="str">
        <f ca="1">IF(AND($A31&lt;&gt;"",ISNUMBER(M31)),COUNTIF($M$4:$M$200,"&gt;"&amp;M31)+COUNTIF($M$4:M31,M31),"")</f>
        <v/>
      </c>
    </row>
    <row r="32" spans="1:17" x14ac:dyDescent="0.3">
      <c r="B32" s="49" t="str">
        <f>IFERROR(INDEX('Position Database'!B:B,MATCH($A32,'Position Database'!$A:$A,0)),"")</f>
        <v/>
      </c>
      <c r="C32" s="50" t="str">
        <f>IFERROR(INDEX('Position Database'!C:C,MATCH($A32,'Position Database'!$A:$A,0)),"")</f>
        <v/>
      </c>
      <c r="D32" s="41" t="str">
        <f>IFERROR(INDEX('Position Database'!D:D,MATCH($A32,'Position Database'!$A:$A,0)),"")</f>
        <v/>
      </c>
      <c r="E32" s="54"/>
      <c r="L32" s="52" t="str">
        <f t="shared" si="0"/>
        <v/>
      </c>
      <c r="M32" s="41" t="str">
        <f t="shared" ca="1" si="1"/>
        <v/>
      </c>
      <c r="N32" s="52" t="str">
        <f t="shared" si="2"/>
        <v/>
      </c>
      <c r="O32" s="55"/>
      <c r="Q32" t="str">
        <f ca="1">IF(AND($A32&lt;&gt;"",ISNUMBER(M32)),COUNTIF($M$4:$M$200,"&gt;"&amp;M32)+COUNTIF($M$4:M32,M32),"")</f>
        <v/>
      </c>
    </row>
    <row r="33" spans="2:17" x14ac:dyDescent="0.3">
      <c r="B33" s="49" t="str">
        <f>IFERROR(INDEX('Position Database'!B:B,MATCH($A33,'Position Database'!$A:$A,0)),"")</f>
        <v/>
      </c>
      <c r="C33" s="50" t="str">
        <f>IFERROR(INDEX('Position Database'!C:C,MATCH($A33,'Position Database'!$A:$A,0)),"")</f>
        <v/>
      </c>
      <c r="D33" s="41" t="str">
        <f>IFERROR(INDEX('Position Database'!D:D,MATCH($A33,'Position Database'!$A:$A,0)),"")</f>
        <v/>
      </c>
      <c r="E33" s="54"/>
      <c r="L33" s="52" t="str">
        <f t="shared" si="0"/>
        <v/>
      </c>
      <c r="M33" s="41" t="str">
        <f t="shared" ca="1" si="1"/>
        <v/>
      </c>
      <c r="N33" s="52" t="str">
        <f t="shared" si="2"/>
        <v/>
      </c>
      <c r="O33" s="55"/>
      <c r="Q33" t="str">
        <f ca="1">IF(AND($A33&lt;&gt;"",ISNUMBER(M33)),COUNTIF($M$4:$M$200,"&gt;"&amp;M33)+COUNTIF($M$4:M33,M33),"")</f>
        <v/>
      </c>
    </row>
    <row r="34" spans="2:17" x14ac:dyDescent="0.3">
      <c r="B34" s="49" t="str">
        <f>IFERROR(INDEX('Position Database'!B:B,MATCH($A34,'Position Database'!$A:$A,0)),"")</f>
        <v/>
      </c>
      <c r="C34" s="50" t="str">
        <f>IFERROR(INDEX('Position Database'!C:C,MATCH($A34,'Position Database'!$A:$A,0)),"")</f>
        <v/>
      </c>
      <c r="D34" s="41" t="str">
        <f>IFERROR(INDEX('Position Database'!D:D,MATCH($A34,'Position Database'!$A:$A,0)),"")</f>
        <v/>
      </c>
      <c r="E34" s="54"/>
      <c r="L34" s="52" t="str">
        <f t="shared" si="0"/>
        <v/>
      </c>
      <c r="M34" s="41" t="str">
        <f t="shared" ca="1" si="1"/>
        <v/>
      </c>
      <c r="N34" s="52" t="str">
        <f t="shared" si="2"/>
        <v/>
      </c>
      <c r="O34" s="55"/>
      <c r="Q34" t="str">
        <f ca="1">IF(AND($A34&lt;&gt;"",ISNUMBER(M34)),COUNTIF($M$4:$M$200,"&gt;"&amp;M34)+COUNTIF($M$4:M34,M34),"")</f>
        <v/>
      </c>
    </row>
    <row r="35" spans="2:17" x14ac:dyDescent="0.3">
      <c r="B35" s="49" t="str">
        <f>IFERROR(INDEX('Position Database'!B:B,MATCH($A35,'Position Database'!$A:$A,0)),"")</f>
        <v/>
      </c>
      <c r="C35" s="50" t="str">
        <f>IFERROR(INDEX('Position Database'!C:C,MATCH($A35,'Position Database'!$A:$A,0)),"")</f>
        <v/>
      </c>
      <c r="D35" s="41" t="str">
        <f>IFERROR(INDEX('Position Database'!D:D,MATCH($A35,'Position Database'!$A:$A,0)),"")</f>
        <v/>
      </c>
      <c r="E35" s="54"/>
      <c r="L35" s="52" t="str">
        <f t="shared" si="0"/>
        <v/>
      </c>
      <c r="M35" s="41" t="str">
        <f t="shared" ca="1" si="1"/>
        <v/>
      </c>
      <c r="N35" s="52" t="str">
        <f t="shared" si="2"/>
        <v/>
      </c>
      <c r="O35" s="55"/>
      <c r="Q35" t="str">
        <f ca="1">IF(AND($A35&lt;&gt;"",ISNUMBER(M35)),COUNTIF($M$4:$M$200,"&gt;"&amp;M35)+COUNTIF($M$4:M35,M35),"")</f>
        <v/>
      </c>
    </row>
    <row r="36" spans="2:17" x14ac:dyDescent="0.3">
      <c r="B36" s="49" t="str">
        <f>IFERROR(INDEX('Position Database'!B:B,MATCH($A36,'Position Database'!$A:$A,0)),"")</f>
        <v/>
      </c>
      <c r="C36" s="50" t="str">
        <f>IFERROR(INDEX('Position Database'!C:C,MATCH($A36,'Position Database'!$A:$A,0)),"")</f>
        <v/>
      </c>
      <c r="D36" s="41" t="str">
        <f>IFERROR(INDEX('Position Database'!D:D,MATCH($A36,'Position Database'!$A:$A,0)),"")</f>
        <v/>
      </c>
      <c r="E36" s="54"/>
      <c r="L36" s="52" t="str">
        <f t="shared" ref="L36:L67" si="3">IF(COUNT(E36,I36,J36,K36)=0,"",MAX(E36,I36,J36,K36))</f>
        <v/>
      </c>
      <c r="M36" s="41" t="str">
        <f t="shared" ref="M36:M67" ca="1" si="4">IF(OR($A36="",NOT(ISNUMBER(L36))),"",IF(OR(O36="Positive Reply",O36="Accepted",O36="Rejected"),"",TODAY()-L36))</f>
        <v/>
      </c>
      <c r="N36" s="52" t="str">
        <f t="shared" ref="N36:N67" si="5">IF(OR($A36="",NOT(ISNUMBER(L36))),"",IF(OR(O36="Positive Reply",O36="Accepted",O36="Rejected"),"",L36+14))</f>
        <v/>
      </c>
      <c r="O36" s="55"/>
      <c r="Q36" t="str">
        <f ca="1">IF(AND($A36&lt;&gt;"",ISNUMBER(M36)),COUNTIF($M$4:$M$200,"&gt;"&amp;M36)+COUNTIF($M$4:M36,M36),"")</f>
        <v/>
      </c>
    </row>
    <row r="37" spans="2:17" x14ac:dyDescent="0.3">
      <c r="B37" s="49" t="str">
        <f>IFERROR(INDEX('Position Database'!B:B,MATCH($A37,'Position Database'!$A:$A,0)),"")</f>
        <v/>
      </c>
      <c r="C37" s="50" t="str">
        <f>IFERROR(INDEX('Position Database'!C:C,MATCH($A37,'Position Database'!$A:$A,0)),"")</f>
        <v/>
      </c>
      <c r="D37" s="41" t="str">
        <f>IFERROR(INDEX('Position Database'!D:D,MATCH($A37,'Position Database'!$A:$A,0)),"")</f>
        <v/>
      </c>
      <c r="E37" s="54"/>
      <c r="L37" s="52" t="str">
        <f t="shared" si="3"/>
        <v/>
      </c>
      <c r="M37" s="41" t="str">
        <f t="shared" ca="1" si="4"/>
        <v/>
      </c>
      <c r="N37" s="52" t="str">
        <f t="shared" si="5"/>
        <v/>
      </c>
      <c r="O37" s="55"/>
      <c r="Q37" t="str">
        <f ca="1">IF(AND($A37&lt;&gt;"",ISNUMBER(M37)),COUNTIF($M$4:$M$200,"&gt;"&amp;M37)+COUNTIF($M$4:M37,M37),"")</f>
        <v/>
      </c>
    </row>
    <row r="38" spans="2:17" x14ac:dyDescent="0.3">
      <c r="B38" s="49" t="str">
        <f>IFERROR(INDEX('Position Database'!B:B,MATCH($A38,'Position Database'!$A:$A,0)),"")</f>
        <v/>
      </c>
      <c r="C38" s="50" t="str">
        <f>IFERROR(INDEX('Position Database'!C:C,MATCH($A38,'Position Database'!$A:$A,0)),"")</f>
        <v/>
      </c>
      <c r="D38" s="41" t="str">
        <f>IFERROR(INDEX('Position Database'!D:D,MATCH($A38,'Position Database'!$A:$A,0)),"")</f>
        <v/>
      </c>
      <c r="E38" s="54"/>
      <c r="L38" s="52" t="str">
        <f t="shared" si="3"/>
        <v/>
      </c>
      <c r="M38" s="41" t="str">
        <f t="shared" ca="1" si="4"/>
        <v/>
      </c>
      <c r="N38" s="52" t="str">
        <f t="shared" si="5"/>
        <v/>
      </c>
      <c r="O38" s="55"/>
      <c r="Q38" t="str">
        <f ca="1">IF(AND($A38&lt;&gt;"",ISNUMBER(M38)),COUNTIF($M$4:$M$200,"&gt;"&amp;M38)+COUNTIF($M$4:M38,M38),"")</f>
        <v/>
      </c>
    </row>
    <row r="39" spans="2:17" x14ac:dyDescent="0.3">
      <c r="B39" s="49" t="str">
        <f>IFERROR(INDEX('Position Database'!B:B,MATCH($A39,'Position Database'!$A:$A,0)),"")</f>
        <v/>
      </c>
      <c r="C39" s="50" t="str">
        <f>IFERROR(INDEX('Position Database'!C:C,MATCH($A39,'Position Database'!$A:$A,0)),"")</f>
        <v/>
      </c>
      <c r="D39" s="41" t="str">
        <f>IFERROR(INDEX('Position Database'!D:D,MATCH($A39,'Position Database'!$A:$A,0)),"")</f>
        <v/>
      </c>
      <c r="E39" s="54"/>
      <c r="L39" s="52" t="str">
        <f t="shared" si="3"/>
        <v/>
      </c>
      <c r="M39" s="41" t="str">
        <f t="shared" ca="1" si="4"/>
        <v/>
      </c>
      <c r="N39" s="52" t="str">
        <f t="shared" si="5"/>
        <v/>
      </c>
      <c r="O39" s="55"/>
      <c r="Q39" t="str">
        <f ca="1">IF(AND($A39&lt;&gt;"",ISNUMBER(M39)),COUNTIF($M$4:$M$200,"&gt;"&amp;M39)+COUNTIF($M$4:M39,M39),"")</f>
        <v/>
      </c>
    </row>
    <row r="40" spans="2:17" x14ac:dyDescent="0.3">
      <c r="B40" s="49" t="str">
        <f>IFERROR(INDEX('Position Database'!B:B,MATCH($A40,'Position Database'!$A:$A,0)),"")</f>
        <v/>
      </c>
      <c r="C40" s="50" t="str">
        <f>IFERROR(INDEX('Position Database'!C:C,MATCH($A40,'Position Database'!$A:$A,0)),"")</f>
        <v/>
      </c>
      <c r="D40" s="41" t="str">
        <f>IFERROR(INDEX('Position Database'!D:D,MATCH($A40,'Position Database'!$A:$A,0)),"")</f>
        <v/>
      </c>
      <c r="E40" s="54"/>
      <c r="L40" s="52" t="str">
        <f t="shared" si="3"/>
        <v/>
      </c>
      <c r="M40" s="41" t="str">
        <f t="shared" ca="1" si="4"/>
        <v/>
      </c>
      <c r="N40" s="52" t="str">
        <f t="shared" si="5"/>
        <v/>
      </c>
      <c r="O40" s="55"/>
      <c r="Q40" t="str">
        <f ca="1">IF(AND($A40&lt;&gt;"",ISNUMBER(M40)),COUNTIF($M$4:$M$200,"&gt;"&amp;M40)+COUNTIF($M$4:M40,M40),"")</f>
        <v/>
      </c>
    </row>
    <row r="41" spans="2:17" x14ac:dyDescent="0.3">
      <c r="B41" s="49" t="str">
        <f>IFERROR(INDEX('Position Database'!B:B,MATCH($A41,'Position Database'!$A:$A,0)),"")</f>
        <v/>
      </c>
      <c r="C41" s="50" t="str">
        <f>IFERROR(INDEX('Position Database'!C:C,MATCH($A41,'Position Database'!$A:$A,0)),"")</f>
        <v/>
      </c>
      <c r="D41" s="41" t="str">
        <f>IFERROR(INDEX('Position Database'!D:D,MATCH($A41,'Position Database'!$A:$A,0)),"")</f>
        <v/>
      </c>
      <c r="E41" s="54"/>
      <c r="L41" s="52" t="str">
        <f t="shared" si="3"/>
        <v/>
      </c>
      <c r="M41" s="41" t="str">
        <f t="shared" ca="1" si="4"/>
        <v/>
      </c>
      <c r="N41" s="52" t="str">
        <f t="shared" si="5"/>
        <v/>
      </c>
      <c r="O41" s="55"/>
      <c r="Q41" t="str">
        <f ca="1">IF(AND($A41&lt;&gt;"",ISNUMBER(M41)),COUNTIF($M$4:$M$200,"&gt;"&amp;M41)+COUNTIF($M$4:M41,M41),"")</f>
        <v/>
      </c>
    </row>
    <row r="42" spans="2:17" x14ac:dyDescent="0.3">
      <c r="B42" s="49" t="str">
        <f>IFERROR(INDEX('Position Database'!B:B,MATCH($A42,'Position Database'!$A:$A,0)),"")</f>
        <v/>
      </c>
      <c r="C42" s="50" t="str">
        <f>IFERROR(INDEX('Position Database'!C:C,MATCH($A42,'Position Database'!$A:$A,0)),"")</f>
        <v/>
      </c>
      <c r="D42" s="41" t="str">
        <f>IFERROR(INDEX('Position Database'!D:D,MATCH($A42,'Position Database'!$A:$A,0)),"")</f>
        <v/>
      </c>
      <c r="E42" s="54"/>
      <c r="L42" s="52" t="str">
        <f t="shared" si="3"/>
        <v/>
      </c>
      <c r="M42" s="41" t="str">
        <f t="shared" ca="1" si="4"/>
        <v/>
      </c>
      <c r="N42" s="52" t="str">
        <f t="shared" si="5"/>
        <v/>
      </c>
      <c r="O42" s="55"/>
      <c r="Q42" t="str">
        <f ca="1">IF(AND($A42&lt;&gt;"",ISNUMBER(M42)),COUNTIF($M$4:$M$200,"&gt;"&amp;M42)+COUNTIF($M$4:M42,M42),"")</f>
        <v/>
      </c>
    </row>
    <row r="43" spans="2:17" x14ac:dyDescent="0.3">
      <c r="B43" s="49" t="str">
        <f>IFERROR(INDEX('Position Database'!B:B,MATCH($A43,'Position Database'!$A:$A,0)),"")</f>
        <v/>
      </c>
      <c r="C43" s="50" t="str">
        <f>IFERROR(INDEX('Position Database'!C:C,MATCH($A43,'Position Database'!$A:$A,0)),"")</f>
        <v/>
      </c>
      <c r="D43" s="41" t="str">
        <f>IFERROR(INDEX('Position Database'!D:D,MATCH($A43,'Position Database'!$A:$A,0)),"")</f>
        <v/>
      </c>
      <c r="E43" s="54"/>
      <c r="L43" s="52" t="str">
        <f t="shared" si="3"/>
        <v/>
      </c>
      <c r="M43" s="41" t="str">
        <f t="shared" ca="1" si="4"/>
        <v/>
      </c>
      <c r="N43" s="52" t="str">
        <f t="shared" si="5"/>
        <v/>
      </c>
      <c r="O43" s="55"/>
      <c r="Q43" t="str">
        <f ca="1">IF(AND($A43&lt;&gt;"",ISNUMBER(M43)),COUNTIF($M$4:$M$200,"&gt;"&amp;M43)+COUNTIF($M$4:M43,M43),"")</f>
        <v/>
      </c>
    </row>
    <row r="44" spans="2:17" x14ac:dyDescent="0.3">
      <c r="B44" s="49" t="str">
        <f>IFERROR(INDEX('Position Database'!B:B,MATCH($A44,'Position Database'!$A:$A,0)),"")</f>
        <v/>
      </c>
      <c r="C44" s="50" t="str">
        <f>IFERROR(INDEX('Position Database'!C:C,MATCH($A44,'Position Database'!$A:$A,0)),"")</f>
        <v/>
      </c>
      <c r="D44" s="41" t="str">
        <f>IFERROR(INDEX('Position Database'!D:D,MATCH($A44,'Position Database'!$A:$A,0)),"")</f>
        <v/>
      </c>
      <c r="E44" s="54"/>
      <c r="L44" s="52" t="str">
        <f t="shared" si="3"/>
        <v/>
      </c>
      <c r="M44" s="41" t="str">
        <f t="shared" ca="1" si="4"/>
        <v/>
      </c>
      <c r="N44" s="52" t="str">
        <f t="shared" si="5"/>
        <v/>
      </c>
      <c r="O44" s="55"/>
      <c r="Q44" t="str">
        <f ca="1">IF(AND($A44&lt;&gt;"",ISNUMBER(M44)),COUNTIF($M$4:$M$200,"&gt;"&amp;M44)+COUNTIF($M$4:M44,M44),"")</f>
        <v/>
      </c>
    </row>
    <row r="45" spans="2:17" x14ac:dyDescent="0.3">
      <c r="B45" s="49" t="str">
        <f>IFERROR(INDEX('Position Database'!B:B,MATCH($A45,'Position Database'!$A:$A,0)),"")</f>
        <v/>
      </c>
      <c r="C45" s="50" t="str">
        <f>IFERROR(INDEX('Position Database'!C:C,MATCH($A45,'Position Database'!$A:$A,0)),"")</f>
        <v/>
      </c>
      <c r="D45" s="41" t="str">
        <f>IFERROR(INDEX('Position Database'!D:D,MATCH($A45,'Position Database'!$A:$A,0)),"")</f>
        <v/>
      </c>
      <c r="E45" s="54"/>
      <c r="L45" s="52" t="str">
        <f t="shared" si="3"/>
        <v/>
      </c>
      <c r="M45" s="41" t="str">
        <f t="shared" ca="1" si="4"/>
        <v/>
      </c>
      <c r="N45" s="52" t="str">
        <f t="shared" si="5"/>
        <v/>
      </c>
      <c r="O45" s="55"/>
      <c r="Q45" t="str">
        <f ca="1">IF(AND($A45&lt;&gt;"",ISNUMBER(M45)),COUNTIF($M$4:$M$200,"&gt;"&amp;M45)+COUNTIF($M$4:M45,M45),"")</f>
        <v/>
      </c>
    </row>
    <row r="46" spans="2:17" x14ac:dyDescent="0.3">
      <c r="B46" s="49" t="str">
        <f>IFERROR(INDEX('Position Database'!B:B,MATCH($A46,'Position Database'!$A:$A,0)),"")</f>
        <v/>
      </c>
      <c r="C46" s="50" t="str">
        <f>IFERROR(INDEX('Position Database'!C:C,MATCH($A46,'Position Database'!$A:$A,0)),"")</f>
        <v/>
      </c>
      <c r="D46" s="41" t="str">
        <f>IFERROR(INDEX('Position Database'!D:D,MATCH($A46,'Position Database'!$A:$A,0)),"")</f>
        <v/>
      </c>
      <c r="E46" s="54"/>
      <c r="L46" s="52" t="str">
        <f t="shared" si="3"/>
        <v/>
      </c>
      <c r="M46" s="41" t="str">
        <f t="shared" ca="1" si="4"/>
        <v/>
      </c>
      <c r="N46" s="52" t="str">
        <f t="shared" si="5"/>
        <v/>
      </c>
      <c r="O46" s="55"/>
      <c r="Q46" t="str">
        <f ca="1">IF(AND($A46&lt;&gt;"",ISNUMBER(M46)),COUNTIF($M$4:$M$200,"&gt;"&amp;M46)+COUNTIF($M$4:M46,M46),"")</f>
        <v/>
      </c>
    </row>
    <row r="47" spans="2:17" x14ac:dyDescent="0.3">
      <c r="B47" s="49" t="str">
        <f>IFERROR(INDEX('Position Database'!B:B,MATCH($A47,'Position Database'!$A:$A,0)),"")</f>
        <v/>
      </c>
      <c r="C47" s="50" t="str">
        <f>IFERROR(INDEX('Position Database'!C:C,MATCH($A47,'Position Database'!$A:$A,0)),"")</f>
        <v/>
      </c>
      <c r="D47" s="41" t="str">
        <f>IFERROR(INDEX('Position Database'!D:D,MATCH($A47,'Position Database'!$A:$A,0)),"")</f>
        <v/>
      </c>
      <c r="E47" s="54"/>
      <c r="L47" s="52" t="str">
        <f t="shared" si="3"/>
        <v/>
      </c>
      <c r="M47" s="41" t="str">
        <f t="shared" ca="1" si="4"/>
        <v/>
      </c>
      <c r="N47" s="52" t="str">
        <f t="shared" si="5"/>
        <v/>
      </c>
      <c r="O47" s="55"/>
      <c r="Q47" t="str">
        <f ca="1">IF(AND($A47&lt;&gt;"",ISNUMBER(M47)),COUNTIF($M$4:$M$200,"&gt;"&amp;M47)+COUNTIF($M$4:M47,M47),"")</f>
        <v/>
      </c>
    </row>
    <row r="48" spans="2:17" x14ac:dyDescent="0.3">
      <c r="B48" s="49" t="str">
        <f>IFERROR(INDEX('Position Database'!B:B,MATCH($A48,'Position Database'!$A:$A,0)),"")</f>
        <v/>
      </c>
      <c r="C48" s="50" t="str">
        <f>IFERROR(INDEX('Position Database'!C:C,MATCH($A48,'Position Database'!$A:$A,0)),"")</f>
        <v/>
      </c>
      <c r="D48" s="41" t="str">
        <f>IFERROR(INDEX('Position Database'!D:D,MATCH($A48,'Position Database'!$A:$A,0)),"")</f>
        <v/>
      </c>
      <c r="E48" s="54"/>
      <c r="L48" s="52" t="str">
        <f t="shared" si="3"/>
        <v/>
      </c>
      <c r="M48" s="41" t="str">
        <f t="shared" ca="1" si="4"/>
        <v/>
      </c>
      <c r="N48" s="52" t="str">
        <f t="shared" si="5"/>
        <v/>
      </c>
      <c r="O48" s="55"/>
      <c r="Q48" t="str">
        <f ca="1">IF(AND($A48&lt;&gt;"",ISNUMBER(M48)),COUNTIF($M$4:$M$200,"&gt;"&amp;M48)+COUNTIF($M$4:M48,M48),"")</f>
        <v/>
      </c>
    </row>
    <row r="49" spans="2:17" x14ac:dyDescent="0.3">
      <c r="B49" s="49" t="str">
        <f>IFERROR(INDEX('Position Database'!B:B,MATCH($A49,'Position Database'!$A:$A,0)),"")</f>
        <v/>
      </c>
      <c r="C49" s="50" t="str">
        <f>IFERROR(INDEX('Position Database'!C:C,MATCH($A49,'Position Database'!$A:$A,0)),"")</f>
        <v/>
      </c>
      <c r="D49" s="41" t="str">
        <f>IFERROR(INDEX('Position Database'!D:D,MATCH($A49,'Position Database'!$A:$A,0)),"")</f>
        <v/>
      </c>
      <c r="E49" s="54"/>
      <c r="L49" s="52" t="str">
        <f t="shared" si="3"/>
        <v/>
      </c>
      <c r="M49" s="41" t="str">
        <f t="shared" ca="1" si="4"/>
        <v/>
      </c>
      <c r="N49" s="52" t="str">
        <f t="shared" si="5"/>
        <v/>
      </c>
      <c r="O49" s="55"/>
      <c r="Q49" t="str">
        <f ca="1">IF(AND($A49&lt;&gt;"",ISNUMBER(M49)),COUNTIF($M$4:$M$200,"&gt;"&amp;M49)+COUNTIF($M$4:M49,M49),"")</f>
        <v/>
      </c>
    </row>
    <row r="50" spans="2:17" x14ac:dyDescent="0.3">
      <c r="B50" s="49" t="str">
        <f>IFERROR(INDEX('Position Database'!B:B,MATCH($A50,'Position Database'!$A:$A,0)),"")</f>
        <v/>
      </c>
      <c r="C50" s="50" t="str">
        <f>IFERROR(INDEX('Position Database'!C:C,MATCH($A50,'Position Database'!$A:$A,0)),"")</f>
        <v/>
      </c>
      <c r="D50" s="41" t="str">
        <f>IFERROR(INDEX('Position Database'!D:D,MATCH($A50,'Position Database'!$A:$A,0)),"")</f>
        <v/>
      </c>
      <c r="E50" s="54"/>
      <c r="L50" s="52" t="str">
        <f t="shared" si="3"/>
        <v/>
      </c>
      <c r="M50" s="41" t="str">
        <f t="shared" ca="1" si="4"/>
        <v/>
      </c>
      <c r="N50" s="52" t="str">
        <f t="shared" si="5"/>
        <v/>
      </c>
      <c r="O50" s="55"/>
      <c r="Q50" t="str">
        <f ca="1">IF(AND($A50&lt;&gt;"",ISNUMBER(M50)),COUNTIF($M$4:$M$200,"&gt;"&amp;M50)+COUNTIF($M$4:M50,M50),"")</f>
        <v/>
      </c>
    </row>
    <row r="51" spans="2:17" x14ac:dyDescent="0.3">
      <c r="B51" s="49" t="str">
        <f>IFERROR(INDEX('Position Database'!B:B,MATCH($A51,'Position Database'!$A:$A,0)),"")</f>
        <v/>
      </c>
      <c r="C51" s="50" t="str">
        <f>IFERROR(INDEX('Position Database'!C:C,MATCH($A51,'Position Database'!$A:$A,0)),"")</f>
        <v/>
      </c>
      <c r="D51" s="41" t="str">
        <f>IFERROR(INDEX('Position Database'!D:D,MATCH($A51,'Position Database'!$A:$A,0)),"")</f>
        <v/>
      </c>
      <c r="E51" s="54"/>
      <c r="L51" s="52" t="str">
        <f t="shared" si="3"/>
        <v/>
      </c>
      <c r="M51" s="41" t="str">
        <f t="shared" ca="1" si="4"/>
        <v/>
      </c>
      <c r="N51" s="52" t="str">
        <f t="shared" si="5"/>
        <v/>
      </c>
      <c r="O51" s="55"/>
      <c r="Q51" t="str">
        <f ca="1">IF(AND($A51&lt;&gt;"",ISNUMBER(M51)),COUNTIF($M$4:$M$200,"&gt;"&amp;M51)+COUNTIF($M$4:M51,M51),"")</f>
        <v/>
      </c>
    </row>
    <row r="52" spans="2:17" x14ac:dyDescent="0.3">
      <c r="B52" s="49" t="str">
        <f>IFERROR(INDEX('Position Database'!B:B,MATCH($A52,'Position Database'!$A:$A,0)),"")</f>
        <v/>
      </c>
      <c r="C52" s="50" t="str">
        <f>IFERROR(INDEX('Position Database'!C:C,MATCH($A52,'Position Database'!$A:$A,0)),"")</f>
        <v/>
      </c>
      <c r="D52" s="41" t="str">
        <f>IFERROR(INDEX('Position Database'!D:D,MATCH($A52,'Position Database'!$A:$A,0)),"")</f>
        <v/>
      </c>
      <c r="E52" s="54"/>
      <c r="L52" s="52" t="str">
        <f t="shared" si="3"/>
        <v/>
      </c>
      <c r="M52" s="41" t="str">
        <f t="shared" ca="1" si="4"/>
        <v/>
      </c>
      <c r="N52" s="52" t="str">
        <f t="shared" si="5"/>
        <v/>
      </c>
      <c r="O52" s="55"/>
      <c r="Q52" t="str">
        <f ca="1">IF(AND($A52&lt;&gt;"",ISNUMBER(M52)),COUNTIF($M$4:$M$200,"&gt;"&amp;M52)+COUNTIF($M$4:M52,M52),"")</f>
        <v/>
      </c>
    </row>
    <row r="53" spans="2:17" x14ac:dyDescent="0.3">
      <c r="B53" s="49" t="str">
        <f>IFERROR(INDEX('Position Database'!B:B,MATCH($A53,'Position Database'!$A:$A,0)),"")</f>
        <v/>
      </c>
      <c r="C53" s="50" t="str">
        <f>IFERROR(INDEX('Position Database'!C:C,MATCH($A53,'Position Database'!$A:$A,0)),"")</f>
        <v/>
      </c>
      <c r="D53" s="41" t="str">
        <f>IFERROR(INDEX('Position Database'!D:D,MATCH($A53,'Position Database'!$A:$A,0)),"")</f>
        <v/>
      </c>
      <c r="E53" s="54"/>
      <c r="L53" s="52" t="str">
        <f t="shared" si="3"/>
        <v/>
      </c>
      <c r="M53" s="41" t="str">
        <f t="shared" ca="1" si="4"/>
        <v/>
      </c>
      <c r="N53" s="52" t="str">
        <f t="shared" si="5"/>
        <v/>
      </c>
      <c r="O53" s="55"/>
      <c r="Q53" t="str">
        <f ca="1">IF(AND($A53&lt;&gt;"",ISNUMBER(M53)),COUNTIF($M$4:$M$200,"&gt;"&amp;M53)+COUNTIF($M$4:M53,M53),"")</f>
        <v/>
      </c>
    </row>
    <row r="54" spans="2:17" x14ac:dyDescent="0.3">
      <c r="B54" s="49" t="str">
        <f>IFERROR(INDEX('Position Database'!B:B,MATCH($A54,'Position Database'!$A:$A,0)),"")</f>
        <v/>
      </c>
      <c r="C54" s="50" t="str">
        <f>IFERROR(INDEX('Position Database'!C:C,MATCH($A54,'Position Database'!$A:$A,0)),"")</f>
        <v/>
      </c>
      <c r="D54" s="41" t="str">
        <f>IFERROR(INDEX('Position Database'!D:D,MATCH($A54,'Position Database'!$A:$A,0)),"")</f>
        <v/>
      </c>
      <c r="E54" s="54"/>
      <c r="L54" s="52" t="str">
        <f t="shared" si="3"/>
        <v/>
      </c>
      <c r="M54" s="41" t="str">
        <f t="shared" ca="1" si="4"/>
        <v/>
      </c>
      <c r="N54" s="52" t="str">
        <f t="shared" si="5"/>
        <v/>
      </c>
      <c r="O54" s="55"/>
      <c r="Q54" t="str">
        <f ca="1">IF(AND($A54&lt;&gt;"",ISNUMBER(M54)),COUNTIF($M$4:$M$200,"&gt;"&amp;M54)+COUNTIF($M$4:M54,M54),"")</f>
        <v/>
      </c>
    </row>
    <row r="55" spans="2:17" x14ac:dyDescent="0.3">
      <c r="B55" s="49" t="str">
        <f>IFERROR(INDEX('Position Database'!B:B,MATCH($A55,'Position Database'!$A:$A,0)),"")</f>
        <v/>
      </c>
      <c r="C55" s="50" t="str">
        <f>IFERROR(INDEX('Position Database'!C:C,MATCH($A55,'Position Database'!$A:$A,0)),"")</f>
        <v/>
      </c>
      <c r="D55" s="41" t="str">
        <f>IFERROR(INDEX('Position Database'!D:D,MATCH($A55,'Position Database'!$A:$A,0)),"")</f>
        <v/>
      </c>
      <c r="E55" s="54"/>
      <c r="L55" s="52" t="str">
        <f t="shared" si="3"/>
        <v/>
      </c>
      <c r="M55" s="41" t="str">
        <f t="shared" ca="1" si="4"/>
        <v/>
      </c>
      <c r="N55" s="52" t="str">
        <f t="shared" si="5"/>
        <v/>
      </c>
      <c r="O55" s="55"/>
      <c r="Q55" t="str">
        <f ca="1">IF(AND($A55&lt;&gt;"",ISNUMBER(M55)),COUNTIF($M$4:$M$200,"&gt;"&amp;M55)+COUNTIF($M$4:M55,M55),"")</f>
        <v/>
      </c>
    </row>
    <row r="56" spans="2:17" x14ac:dyDescent="0.3">
      <c r="B56" s="49" t="str">
        <f>IFERROR(INDEX('Position Database'!B:B,MATCH($A56,'Position Database'!$A:$A,0)),"")</f>
        <v/>
      </c>
      <c r="C56" s="50" t="str">
        <f>IFERROR(INDEX('Position Database'!C:C,MATCH($A56,'Position Database'!$A:$A,0)),"")</f>
        <v/>
      </c>
      <c r="D56" s="41" t="str">
        <f>IFERROR(INDEX('Position Database'!D:D,MATCH($A56,'Position Database'!$A:$A,0)),"")</f>
        <v/>
      </c>
      <c r="E56" s="54"/>
      <c r="L56" s="52" t="str">
        <f t="shared" si="3"/>
        <v/>
      </c>
      <c r="M56" s="41" t="str">
        <f t="shared" ca="1" si="4"/>
        <v/>
      </c>
      <c r="N56" s="52" t="str">
        <f t="shared" si="5"/>
        <v/>
      </c>
      <c r="O56" s="55"/>
      <c r="Q56" t="str">
        <f ca="1">IF(AND($A56&lt;&gt;"",ISNUMBER(M56)),COUNTIF($M$4:$M$200,"&gt;"&amp;M56)+COUNTIF($M$4:M56,M56),"")</f>
        <v/>
      </c>
    </row>
    <row r="57" spans="2:17" x14ac:dyDescent="0.3">
      <c r="B57" s="49" t="str">
        <f>IFERROR(INDEX('Position Database'!B:B,MATCH($A57,'Position Database'!$A:$A,0)),"")</f>
        <v/>
      </c>
      <c r="C57" s="50" t="str">
        <f>IFERROR(INDEX('Position Database'!C:C,MATCH($A57,'Position Database'!$A:$A,0)),"")</f>
        <v/>
      </c>
      <c r="D57" s="41" t="str">
        <f>IFERROR(INDEX('Position Database'!D:D,MATCH($A57,'Position Database'!$A:$A,0)),"")</f>
        <v/>
      </c>
      <c r="E57" s="54"/>
      <c r="L57" s="52" t="str">
        <f t="shared" si="3"/>
        <v/>
      </c>
      <c r="M57" s="41" t="str">
        <f t="shared" ca="1" si="4"/>
        <v/>
      </c>
      <c r="N57" s="52" t="str">
        <f t="shared" si="5"/>
        <v/>
      </c>
      <c r="O57" s="55"/>
      <c r="Q57" t="str">
        <f ca="1">IF(AND($A57&lt;&gt;"",ISNUMBER(M57)),COUNTIF($M$4:$M$200,"&gt;"&amp;M57)+COUNTIF($M$4:M57,M57),"")</f>
        <v/>
      </c>
    </row>
    <row r="58" spans="2:17" x14ac:dyDescent="0.3">
      <c r="B58" s="49" t="str">
        <f>IFERROR(INDEX('Position Database'!B:B,MATCH($A58,'Position Database'!$A:$A,0)),"")</f>
        <v/>
      </c>
      <c r="C58" s="50" t="str">
        <f>IFERROR(INDEX('Position Database'!C:C,MATCH($A58,'Position Database'!$A:$A,0)),"")</f>
        <v/>
      </c>
      <c r="D58" s="41" t="str">
        <f>IFERROR(INDEX('Position Database'!D:D,MATCH($A58,'Position Database'!$A:$A,0)),"")</f>
        <v/>
      </c>
      <c r="E58" s="54"/>
      <c r="L58" s="52" t="str">
        <f t="shared" si="3"/>
        <v/>
      </c>
      <c r="M58" s="41" t="str">
        <f t="shared" ca="1" si="4"/>
        <v/>
      </c>
      <c r="N58" s="52" t="str">
        <f t="shared" si="5"/>
        <v/>
      </c>
      <c r="O58" s="55"/>
      <c r="Q58" t="str">
        <f ca="1">IF(AND($A58&lt;&gt;"",ISNUMBER(M58)),COUNTIF($M$4:$M$200,"&gt;"&amp;M58)+COUNTIF($M$4:M58,M58),"")</f>
        <v/>
      </c>
    </row>
    <row r="59" spans="2:17" x14ac:dyDescent="0.3">
      <c r="B59" s="49" t="str">
        <f>IFERROR(INDEX('Position Database'!B:B,MATCH($A59,'Position Database'!$A:$A,0)),"")</f>
        <v/>
      </c>
      <c r="C59" s="50" t="str">
        <f>IFERROR(INDEX('Position Database'!C:C,MATCH($A59,'Position Database'!$A:$A,0)),"")</f>
        <v/>
      </c>
      <c r="D59" s="41" t="str">
        <f>IFERROR(INDEX('Position Database'!D:D,MATCH($A59,'Position Database'!$A:$A,0)),"")</f>
        <v/>
      </c>
      <c r="E59" s="54"/>
      <c r="L59" s="52" t="str">
        <f t="shared" si="3"/>
        <v/>
      </c>
      <c r="M59" s="41" t="str">
        <f t="shared" ca="1" si="4"/>
        <v/>
      </c>
      <c r="N59" s="52" t="str">
        <f t="shared" si="5"/>
        <v/>
      </c>
      <c r="O59" s="55"/>
      <c r="Q59" t="str">
        <f ca="1">IF(AND($A59&lt;&gt;"",ISNUMBER(M59)),COUNTIF($M$4:$M$200,"&gt;"&amp;M59)+COUNTIF($M$4:M59,M59),"")</f>
        <v/>
      </c>
    </row>
    <row r="60" spans="2:17" x14ac:dyDescent="0.3">
      <c r="B60" s="49" t="str">
        <f>IFERROR(INDEX('Position Database'!B:B,MATCH($A60,'Position Database'!$A:$A,0)),"")</f>
        <v/>
      </c>
      <c r="C60" s="50" t="str">
        <f>IFERROR(INDEX('Position Database'!C:C,MATCH($A60,'Position Database'!$A:$A,0)),"")</f>
        <v/>
      </c>
      <c r="D60" s="41" t="str">
        <f>IFERROR(INDEX('Position Database'!D:D,MATCH($A60,'Position Database'!$A:$A,0)),"")</f>
        <v/>
      </c>
      <c r="E60" s="54"/>
      <c r="L60" s="52" t="str">
        <f t="shared" si="3"/>
        <v/>
      </c>
      <c r="M60" s="41" t="str">
        <f t="shared" ca="1" si="4"/>
        <v/>
      </c>
      <c r="N60" s="52" t="str">
        <f t="shared" si="5"/>
        <v/>
      </c>
      <c r="O60" s="55"/>
      <c r="Q60" t="str">
        <f ca="1">IF(AND($A60&lt;&gt;"",ISNUMBER(M60)),COUNTIF($M$4:$M$200,"&gt;"&amp;M60)+COUNTIF($M$4:M60,M60),"")</f>
        <v/>
      </c>
    </row>
    <row r="61" spans="2:17" x14ac:dyDescent="0.3">
      <c r="B61" s="49" t="str">
        <f>IFERROR(INDEX('Position Database'!B:B,MATCH($A61,'Position Database'!$A:$A,0)),"")</f>
        <v/>
      </c>
      <c r="C61" s="50" t="str">
        <f>IFERROR(INDEX('Position Database'!C:C,MATCH($A61,'Position Database'!$A:$A,0)),"")</f>
        <v/>
      </c>
      <c r="D61" s="41" t="str">
        <f>IFERROR(INDEX('Position Database'!D:D,MATCH($A61,'Position Database'!$A:$A,0)),"")</f>
        <v/>
      </c>
      <c r="E61" s="54"/>
      <c r="L61" s="52" t="str">
        <f t="shared" si="3"/>
        <v/>
      </c>
      <c r="M61" s="41" t="str">
        <f t="shared" ca="1" si="4"/>
        <v/>
      </c>
      <c r="N61" s="52" t="str">
        <f t="shared" si="5"/>
        <v/>
      </c>
      <c r="O61" s="55"/>
      <c r="Q61" t="str">
        <f ca="1">IF(AND($A61&lt;&gt;"",ISNUMBER(M61)),COUNTIF($M$4:$M$200,"&gt;"&amp;M61)+COUNTIF($M$4:M61,M61),"")</f>
        <v/>
      </c>
    </row>
    <row r="62" spans="2:17" x14ac:dyDescent="0.3">
      <c r="B62" s="49" t="str">
        <f>IFERROR(INDEX('Position Database'!B:B,MATCH($A62,'Position Database'!$A:$A,0)),"")</f>
        <v/>
      </c>
      <c r="C62" s="50" t="str">
        <f>IFERROR(INDEX('Position Database'!C:C,MATCH($A62,'Position Database'!$A:$A,0)),"")</f>
        <v/>
      </c>
      <c r="D62" s="41" t="str">
        <f>IFERROR(INDEX('Position Database'!D:D,MATCH($A62,'Position Database'!$A:$A,0)),"")</f>
        <v/>
      </c>
      <c r="E62" s="54"/>
      <c r="L62" s="52" t="str">
        <f t="shared" si="3"/>
        <v/>
      </c>
      <c r="M62" s="41" t="str">
        <f t="shared" ca="1" si="4"/>
        <v/>
      </c>
      <c r="N62" s="52" t="str">
        <f t="shared" si="5"/>
        <v/>
      </c>
      <c r="O62" s="55"/>
      <c r="Q62" t="str">
        <f ca="1">IF(AND($A62&lt;&gt;"",ISNUMBER(M62)),COUNTIF($M$4:$M$200,"&gt;"&amp;M62)+COUNTIF($M$4:M62,M62),"")</f>
        <v/>
      </c>
    </row>
    <row r="63" spans="2:17" x14ac:dyDescent="0.3">
      <c r="B63" s="49" t="str">
        <f>IFERROR(INDEX('Position Database'!B:B,MATCH($A63,'Position Database'!$A:$A,0)),"")</f>
        <v/>
      </c>
      <c r="C63" s="50" t="str">
        <f>IFERROR(INDEX('Position Database'!C:C,MATCH($A63,'Position Database'!$A:$A,0)),"")</f>
        <v/>
      </c>
      <c r="D63" s="41" t="str">
        <f>IFERROR(INDEX('Position Database'!D:D,MATCH($A63,'Position Database'!$A:$A,0)),"")</f>
        <v/>
      </c>
      <c r="E63" s="54"/>
      <c r="L63" s="52" t="str">
        <f t="shared" si="3"/>
        <v/>
      </c>
      <c r="M63" s="41" t="str">
        <f t="shared" ca="1" si="4"/>
        <v/>
      </c>
      <c r="N63" s="52" t="str">
        <f t="shared" si="5"/>
        <v/>
      </c>
      <c r="O63" s="55"/>
      <c r="Q63" t="str">
        <f ca="1">IF(AND($A63&lt;&gt;"",ISNUMBER(M63)),COUNTIF($M$4:$M$200,"&gt;"&amp;M63)+COUNTIF($M$4:M63,M63),"")</f>
        <v/>
      </c>
    </row>
    <row r="64" spans="2:17" x14ac:dyDescent="0.3">
      <c r="B64" s="49" t="str">
        <f>IFERROR(INDEX('Position Database'!B:B,MATCH($A64,'Position Database'!$A:$A,0)),"")</f>
        <v/>
      </c>
      <c r="C64" s="50" t="str">
        <f>IFERROR(INDEX('Position Database'!C:C,MATCH($A64,'Position Database'!$A:$A,0)),"")</f>
        <v/>
      </c>
      <c r="D64" s="41" t="str">
        <f>IFERROR(INDEX('Position Database'!D:D,MATCH($A64,'Position Database'!$A:$A,0)),"")</f>
        <v/>
      </c>
      <c r="E64" s="54"/>
      <c r="L64" s="52" t="str">
        <f t="shared" si="3"/>
        <v/>
      </c>
      <c r="M64" s="41" t="str">
        <f t="shared" ca="1" si="4"/>
        <v/>
      </c>
      <c r="N64" s="52" t="str">
        <f t="shared" si="5"/>
        <v/>
      </c>
      <c r="O64" s="55"/>
      <c r="Q64" t="str">
        <f ca="1">IF(AND($A64&lt;&gt;"",ISNUMBER(M64)),COUNTIF($M$4:$M$200,"&gt;"&amp;M64)+COUNTIF($M$4:M64,M64),"")</f>
        <v/>
      </c>
    </row>
    <row r="65" spans="2:17" x14ac:dyDescent="0.3">
      <c r="B65" s="49" t="str">
        <f>IFERROR(INDEX('Position Database'!B:B,MATCH($A65,'Position Database'!$A:$A,0)),"")</f>
        <v/>
      </c>
      <c r="C65" s="50" t="str">
        <f>IFERROR(INDEX('Position Database'!C:C,MATCH($A65,'Position Database'!$A:$A,0)),"")</f>
        <v/>
      </c>
      <c r="D65" s="41" t="str">
        <f>IFERROR(INDEX('Position Database'!D:D,MATCH($A65,'Position Database'!$A:$A,0)),"")</f>
        <v/>
      </c>
      <c r="E65" s="54"/>
      <c r="L65" s="52" t="str">
        <f t="shared" si="3"/>
        <v/>
      </c>
      <c r="M65" s="41" t="str">
        <f t="shared" ca="1" si="4"/>
        <v/>
      </c>
      <c r="N65" s="52" t="str">
        <f t="shared" si="5"/>
        <v/>
      </c>
      <c r="O65" s="55"/>
      <c r="Q65" t="str">
        <f ca="1">IF(AND($A65&lt;&gt;"",ISNUMBER(M65)),COUNTIF($M$4:$M$200,"&gt;"&amp;M65)+COUNTIF($M$4:M65,M65),"")</f>
        <v/>
      </c>
    </row>
    <row r="66" spans="2:17" x14ac:dyDescent="0.3">
      <c r="B66" s="49" t="str">
        <f>IFERROR(INDEX('Position Database'!B:B,MATCH($A66,'Position Database'!$A:$A,0)),"")</f>
        <v/>
      </c>
      <c r="C66" s="50" t="str">
        <f>IFERROR(INDEX('Position Database'!C:C,MATCH($A66,'Position Database'!$A:$A,0)),"")</f>
        <v/>
      </c>
      <c r="D66" s="41" t="str">
        <f>IFERROR(INDEX('Position Database'!D:D,MATCH($A66,'Position Database'!$A:$A,0)),"")</f>
        <v/>
      </c>
      <c r="E66" s="54"/>
      <c r="L66" s="52" t="str">
        <f t="shared" si="3"/>
        <v/>
      </c>
      <c r="M66" s="41" t="str">
        <f t="shared" ca="1" si="4"/>
        <v/>
      </c>
      <c r="N66" s="52" t="str">
        <f t="shared" si="5"/>
        <v/>
      </c>
      <c r="O66" s="55"/>
      <c r="Q66" t="str">
        <f ca="1">IF(AND($A66&lt;&gt;"",ISNUMBER(M66)),COUNTIF($M$4:$M$200,"&gt;"&amp;M66)+COUNTIF($M$4:M66,M66),"")</f>
        <v/>
      </c>
    </row>
    <row r="67" spans="2:17" x14ac:dyDescent="0.3">
      <c r="B67" s="49" t="str">
        <f>IFERROR(INDEX('Position Database'!B:B,MATCH($A67,'Position Database'!$A:$A,0)),"")</f>
        <v/>
      </c>
      <c r="C67" s="50" t="str">
        <f>IFERROR(INDEX('Position Database'!C:C,MATCH($A67,'Position Database'!$A:$A,0)),"")</f>
        <v/>
      </c>
      <c r="D67" s="41" t="str">
        <f>IFERROR(INDEX('Position Database'!D:D,MATCH($A67,'Position Database'!$A:$A,0)),"")</f>
        <v/>
      </c>
      <c r="E67" s="54"/>
      <c r="L67" s="52" t="str">
        <f t="shared" si="3"/>
        <v/>
      </c>
      <c r="M67" s="41" t="str">
        <f t="shared" ca="1" si="4"/>
        <v/>
      </c>
      <c r="N67" s="52" t="str">
        <f t="shared" si="5"/>
        <v/>
      </c>
      <c r="O67" s="55"/>
      <c r="Q67" t="str">
        <f ca="1">IF(AND($A67&lt;&gt;"",ISNUMBER(M67)),COUNTIF($M$4:$M$200,"&gt;"&amp;M67)+COUNTIF($M$4:M67,M67),"")</f>
        <v/>
      </c>
    </row>
    <row r="68" spans="2:17" x14ac:dyDescent="0.3">
      <c r="B68" s="49" t="str">
        <f>IFERROR(INDEX('Position Database'!B:B,MATCH($A68,'Position Database'!$A:$A,0)),"")</f>
        <v/>
      </c>
      <c r="C68" s="50" t="str">
        <f>IFERROR(INDEX('Position Database'!C:C,MATCH($A68,'Position Database'!$A:$A,0)),"")</f>
        <v/>
      </c>
      <c r="D68" s="41" t="str">
        <f>IFERROR(INDEX('Position Database'!D:D,MATCH($A68,'Position Database'!$A:$A,0)),"")</f>
        <v/>
      </c>
      <c r="E68" s="54"/>
      <c r="L68" s="52" t="str">
        <f t="shared" ref="L68:L99" si="6">IF(COUNT(E68,I68,J68,K68)=0,"",MAX(E68,I68,J68,K68))</f>
        <v/>
      </c>
      <c r="M68" s="41" t="str">
        <f t="shared" ref="M68:M99" ca="1" si="7">IF(OR($A68="",NOT(ISNUMBER(L68))),"",IF(OR(O68="Positive Reply",O68="Accepted",O68="Rejected"),"",TODAY()-L68))</f>
        <v/>
      </c>
      <c r="N68" s="52" t="str">
        <f t="shared" ref="N68:N99" si="8">IF(OR($A68="",NOT(ISNUMBER(L68))),"",IF(OR(O68="Positive Reply",O68="Accepted",O68="Rejected"),"",L68+14))</f>
        <v/>
      </c>
      <c r="O68" s="55"/>
      <c r="Q68" t="str">
        <f ca="1">IF(AND($A68&lt;&gt;"",ISNUMBER(M68)),COUNTIF($M$4:$M$200,"&gt;"&amp;M68)+COUNTIF($M$4:M68,M68),"")</f>
        <v/>
      </c>
    </row>
    <row r="69" spans="2:17" x14ac:dyDescent="0.3">
      <c r="B69" s="49" t="str">
        <f>IFERROR(INDEX('Position Database'!B:B,MATCH($A69,'Position Database'!$A:$A,0)),"")</f>
        <v/>
      </c>
      <c r="C69" s="50" t="str">
        <f>IFERROR(INDEX('Position Database'!C:C,MATCH($A69,'Position Database'!$A:$A,0)),"")</f>
        <v/>
      </c>
      <c r="D69" s="41" t="str">
        <f>IFERROR(INDEX('Position Database'!D:D,MATCH($A69,'Position Database'!$A:$A,0)),"")</f>
        <v/>
      </c>
      <c r="E69" s="54"/>
      <c r="L69" s="52" t="str">
        <f t="shared" si="6"/>
        <v/>
      </c>
      <c r="M69" s="41" t="str">
        <f t="shared" ca="1" si="7"/>
        <v/>
      </c>
      <c r="N69" s="52" t="str">
        <f t="shared" si="8"/>
        <v/>
      </c>
      <c r="O69" s="55"/>
      <c r="Q69" t="str">
        <f ca="1">IF(AND($A69&lt;&gt;"",ISNUMBER(M69)),COUNTIF($M$4:$M$200,"&gt;"&amp;M69)+COUNTIF($M$4:M69,M69),"")</f>
        <v/>
      </c>
    </row>
    <row r="70" spans="2:17" x14ac:dyDescent="0.3">
      <c r="B70" s="49" t="str">
        <f>IFERROR(INDEX('Position Database'!B:B,MATCH($A70,'Position Database'!$A:$A,0)),"")</f>
        <v/>
      </c>
      <c r="C70" s="50" t="str">
        <f>IFERROR(INDEX('Position Database'!C:C,MATCH($A70,'Position Database'!$A:$A,0)),"")</f>
        <v/>
      </c>
      <c r="D70" s="41" t="str">
        <f>IFERROR(INDEX('Position Database'!D:D,MATCH($A70,'Position Database'!$A:$A,0)),"")</f>
        <v/>
      </c>
      <c r="E70" s="54"/>
      <c r="L70" s="52" t="str">
        <f t="shared" si="6"/>
        <v/>
      </c>
      <c r="M70" s="41" t="str">
        <f t="shared" ca="1" si="7"/>
        <v/>
      </c>
      <c r="N70" s="52" t="str">
        <f t="shared" si="8"/>
        <v/>
      </c>
      <c r="O70" s="55"/>
      <c r="Q70" t="str">
        <f ca="1">IF(AND($A70&lt;&gt;"",ISNUMBER(M70)),COUNTIF($M$4:$M$200,"&gt;"&amp;M70)+COUNTIF($M$4:M70,M70),"")</f>
        <v/>
      </c>
    </row>
    <row r="71" spans="2:17" x14ac:dyDescent="0.3">
      <c r="B71" s="49" t="str">
        <f>IFERROR(INDEX('Position Database'!B:B,MATCH($A71,'Position Database'!$A:$A,0)),"")</f>
        <v/>
      </c>
      <c r="C71" s="50" t="str">
        <f>IFERROR(INDEX('Position Database'!C:C,MATCH($A71,'Position Database'!$A:$A,0)),"")</f>
        <v/>
      </c>
      <c r="D71" s="41" t="str">
        <f>IFERROR(INDEX('Position Database'!D:D,MATCH($A71,'Position Database'!$A:$A,0)),"")</f>
        <v/>
      </c>
      <c r="E71" s="54"/>
      <c r="L71" s="52" t="str">
        <f t="shared" si="6"/>
        <v/>
      </c>
      <c r="M71" s="41" t="str">
        <f t="shared" ca="1" si="7"/>
        <v/>
      </c>
      <c r="N71" s="52" t="str">
        <f t="shared" si="8"/>
        <v/>
      </c>
      <c r="O71" s="55"/>
      <c r="Q71" t="str">
        <f ca="1">IF(AND($A71&lt;&gt;"",ISNUMBER(M71)),COUNTIF($M$4:$M$200,"&gt;"&amp;M71)+COUNTIF($M$4:M71,M71),"")</f>
        <v/>
      </c>
    </row>
    <row r="72" spans="2:17" x14ac:dyDescent="0.3">
      <c r="B72" s="49" t="str">
        <f>IFERROR(INDEX('Position Database'!B:B,MATCH($A72,'Position Database'!$A:$A,0)),"")</f>
        <v/>
      </c>
      <c r="C72" s="50" t="str">
        <f>IFERROR(INDEX('Position Database'!C:C,MATCH($A72,'Position Database'!$A:$A,0)),"")</f>
        <v/>
      </c>
      <c r="D72" s="41" t="str">
        <f>IFERROR(INDEX('Position Database'!D:D,MATCH($A72,'Position Database'!$A:$A,0)),"")</f>
        <v/>
      </c>
      <c r="E72" s="54"/>
      <c r="L72" s="52" t="str">
        <f t="shared" si="6"/>
        <v/>
      </c>
      <c r="M72" s="41" t="str">
        <f t="shared" ca="1" si="7"/>
        <v/>
      </c>
      <c r="N72" s="52" t="str">
        <f t="shared" si="8"/>
        <v/>
      </c>
      <c r="O72" s="55"/>
      <c r="Q72" t="str">
        <f ca="1">IF(AND($A72&lt;&gt;"",ISNUMBER(M72)),COUNTIF($M$4:$M$200,"&gt;"&amp;M72)+COUNTIF($M$4:M72,M72),"")</f>
        <v/>
      </c>
    </row>
    <row r="73" spans="2:17" x14ac:dyDescent="0.3">
      <c r="B73" s="49" t="str">
        <f>IFERROR(INDEX('Position Database'!B:B,MATCH($A73,'Position Database'!$A:$A,0)),"")</f>
        <v/>
      </c>
      <c r="C73" s="50" t="str">
        <f>IFERROR(INDEX('Position Database'!C:C,MATCH($A73,'Position Database'!$A:$A,0)),"")</f>
        <v/>
      </c>
      <c r="D73" s="41" t="str">
        <f>IFERROR(INDEX('Position Database'!D:D,MATCH($A73,'Position Database'!$A:$A,0)),"")</f>
        <v/>
      </c>
      <c r="E73" s="54"/>
      <c r="L73" s="52" t="str">
        <f t="shared" si="6"/>
        <v/>
      </c>
      <c r="M73" s="41" t="str">
        <f t="shared" ca="1" si="7"/>
        <v/>
      </c>
      <c r="N73" s="52" t="str">
        <f t="shared" si="8"/>
        <v/>
      </c>
      <c r="O73" s="55"/>
      <c r="Q73" t="str">
        <f ca="1">IF(AND($A73&lt;&gt;"",ISNUMBER(M73)),COUNTIF($M$4:$M$200,"&gt;"&amp;M73)+COUNTIF($M$4:M73,M73),"")</f>
        <v/>
      </c>
    </row>
    <row r="74" spans="2:17" x14ac:dyDescent="0.3">
      <c r="B74" s="49" t="str">
        <f>IFERROR(INDEX('Position Database'!B:B,MATCH($A74,'Position Database'!$A:$A,0)),"")</f>
        <v/>
      </c>
      <c r="C74" s="50" t="str">
        <f>IFERROR(INDEX('Position Database'!C:C,MATCH($A74,'Position Database'!$A:$A,0)),"")</f>
        <v/>
      </c>
      <c r="D74" s="41" t="str">
        <f>IFERROR(INDEX('Position Database'!D:D,MATCH($A74,'Position Database'!$A:$A,0)),"")</f>
        <v/>
      </c>
      <c r="E74" s="54"/>
      <c r="L74" s="52" t="str">
        <f t="shared" si="6"/>
        <v/>
      </c>
      <c r="M74" s="41" t="str">
        <f t="shared" ca="1" si="7"/>
        <v/>
      </c>
      <c r="N74" s="52" t="str">
        <f t="shared" si="8"/>
        <v/>
      </c>
      <c r="O74" s="55"/>
      <c r="Q74" t="str">
        <f ca="1">IF(AND($A74&lt;&gt;"",ISNUMBER(M74)),COUNTIF($M$4:$M$200,"&gt;"&amp;M74)+COUNTIF($M$4:M74,M74),"")</f>
        <v/>
      </c>
    </row>
    <row r="75" spans="2:17" x14ac:dyDescent="0.3">
      <c r="B75" s="49" t="str">
        <f>IFERROR(INDEX('Position Database'!B:B,MATCH($A75,'Position Database'!$A:$A,0)),"")</f>
        <v/>
      </c>
      <c r="C75" s="50" t="str">
        <f>IFERROR(INDEX('Position Database'!C:C,MATCH($A75,'Position Database'!$A:$A,0)),"")</f>
        <v/>
      </c>
      <c r="D75" s="41" t="str">
        <f>IFERROR(INDEX('Position Database'!D:D,MATCH($A75,'Position Database'!$A:$A,0)),"")</f>
        <v/>
      </c>
      <c r="E75" s="54"/>
      <c r="L75" s="52" t="str">
        <f t="shared" si="6"/>
        <v/>
      </c>
      <c r="M75" s="41" t="str">
        <f t="shared" ca="1" si="7"/>
        <v/>
      </c>
      <c r="N75" s="52" t="str">
        <f t="shared" si="8"/>
        <v/>
      </c>
      <c r="O75" s="55"/>
      <c r="Q75" t="str">
        <f ca="1">IF(AND($A75&lt;&gt;"",ISNUMBER(M75)),COUNTIF($M$4:$M$200,"&gt;"&amp;M75)+COUNTIF($M$4:M75,M75),"")</f>
        <v/>
      </c>
    </row>
    <row r="76" spans="2:17" x14ac:dyDescent="0.3">
      <c r="B76" s="49" t="str">
        <f>IFERROR(INDEX('Position Database'!B:B,MATCH($A76,'Position Database'!$A:$A,0)),"")</f>
        <v/>
      </c>
      <c r="C76" s="50" t="str">
        <f>IFERROR(INDEX('Position Database'!C:C,MATCH($A76,'Position Database'!$A:$A,0)),"")</f>
        <v/>
      </c>
      <c r="D76" s="41" t="str">
        <f>IFERROR(INDEX('Position Database'!D:D,MATCH($A76,'Position Database'!$A:$A,0)),"")</f>
        <v/>
      </c>
      <c r="E76" s="54"/>
      <c r="L76" s="52" t="str">
        <f t="shared" si="6"/>
        <v/>
      </c>
      <c r="M76" s="41" t="str">
        <f t="shared" ca="1" si="7"/>
        <v/>
      </c>
      <c r="N76" s="52" t="str">
        <f t="shared" si="8"/>
        <v/>
      </c>
      <c r="O76" s="55"/>
      <c r="Q76" t="str">
        <f ca="1">IF(AND($A76&lt;&gt;"",ISNUMBER(M76)),COUNTIF($M$4:$M$200,"&gt;"&amp;M76)+COUNTIF($M$4:M76,M76),"")</f>
        <v/>
      </c>
    </row>
    <row r="77" spans="2:17" x14ac:dyDescent="0.3">
      <c r="B77" s="49" t="str">
        <f>IFERROR(INDEX('Position Database'!B:B,MATCH($A77,'Position Database'!$A:$A,0)),"")</f>
        <v/>
      </c>
      <c r="C77" s="50" t="str">
        <f>IFERROR(INDEX('Position Database'!C:C,MATCH($A77,'Position Database'!$A:$A,0)),"")</f>
        <v/>
      </c>
      <c r="D77" s="41" t="str">
        <f>IFERROR(INDEX('Position Database'!D:D,MATCH($A77,'Position Database'!$A:$A,0)),"")</f>
        <v/>
      </c>
      <c r="E77" s="54"/>
      <c r="L77" s="52" t="str">
        <f t="shared" si="6"/>
        <v/>
      </c>
      <c r="M77" s="41" t="str">
        <f t="shared" ca="1" si="7"/>
        <v/>
      </c>
      <c r="N77" s="52" t="str">
        <f t="shared" si="8"/>
        <v/>
      </c>
      <c r="O77" s="55"/>
      <c r="Q77" t="str">
        <f ca="1">IF(AND($A77&lt;&gt;"",ISNUMBER(M77)),COUNTIF($M$4:$M$200,"&gt;"&amp;M77)+COUNTIF($M$4:M77,M77),"")</f>
        <v/>
      </c>
    </row>
    <row r="78" spans="2:17" x14ac:dyDescent="0.3">
      <c r="B78" s="49" t="str">
        <f>IFERROR(INDEX('Position Database'!B:B,MATCH($A78,'Position Database'!$A:$A,0)),"")</f>
        <v/>
      </c>
      <c r="C78" s="50" t="str">
        <f>IFERROR(INDEX('Position Database'!C:C,MATCH($A78,'Position Database'!$A:$A,0)),"")</f>
        <v/>
      </c>
      <c r="D78" s="41" t="str">
        <f>IFERROR(INDEX('Position Database'!D:D,MATCH($A78,'Position Database'!$A:$A,0)),"")</f>
        <v/>
      </c>
      <c r="E78" s="54"/>
      <c r="L78" s="52" t="str">
        <f t="shared" si="6"/>
        <v/>
      </c>
      <c r="M78" s="41" t="str">
        <f t="shared" ca="1" si="7"/>
        <v/>
      </c>
      <c r="N78" s="52" t="str">
        <f t="shared" si="8"/>
        <v/>
      </c>
      <c r="O78" s="55"/>
      <c r="Q78" t="str">
        <f ca="1">IF(AND($A78&lt;&gt;"",ISNUMBER(M78)),COUNTIF($M$4:$M$200,"&gt;"&amp;M78)+COUNTIF($M$4:M78,M78),"")</f>
        <v/>
      </c>
    </row>
    <row r="79" spans="2:17" x14ac:dyDescent="0.3">
      <c r="B79" s="49" t="str">
        <f>IFERROR(INDEX('Position Database'!B:B,MATCH($A79,'Position Database'!$A:$A,0)),"")</f>
        <v/>
      </c>
      <c r="C79" s="50" t="str">
        <f>IFERROR(INDEX('Position Database'!C:C,MATCH($A79,'Position Database'!$A:$A,0)),"")</f>
        <v/>
      </c>
      <c r="D79" s="41" t="str">
        <f>IFERROR(INDEX('Position Database'!D:D,MATCH($A79,'Position Database'!$A:$A,0)),"")</f>
        <v/>
      </c>
      <c r="E79" s="54"/>
      <c r="L79" s="52" t="str">
        <f t="shared" si="6"/>
        <v/>
      </c>
      <c r="M79" s="41" t="str">
        <f t="shared" ca="1" si="7"/>
        <v/>
      </c>
      <c r="N79" s="52" t="str">
        <f t="shared" si="8"/>
        <v/>
      </c>
      <c r="O79" s="55"/>
      <c r="Q79" t="str">
        <f ca="1">IF(AND($A79&lt;&gt;"",ISNUMBER(M79)),COUNTIF($M$4:$M$200,"&gt;"&amp;M79)+COUNTIF($M$4:M79,M79),"")</f>
        <v/>
      </c>
    </row>
    <row r="80" spans="2:17" x14ac:dyDescent="0.3">
      <c r="B80" s="49" t="str">
        <f>IFERROR(INDEX('Position Database'!B:B,MATCH($A80,'Position Database'!$A:$A,0)),"")</f>
        <v/>
      </c>
      <c r="C80" s="50" t="str">
        <f>IFERROR(INDEX('Position Database'!C:C,MATCH($A80,'Position Database'!$A:$A,0)),"")</f>
        <v/>
      </c>
      <c r="D80" s="41" t="str">
        <f>IFERROR(INDEX('Position Database'!D:D,MATCH($A80,'Position Database'!$A:$A,0)),"")</f>
        <v/>
      </c>
      <c r="E80" s="54"/>
      <c r="L80" s="52" t="str">
        <f t="shared" si="6"/>
        <v/>
      </c>
      <c r="M80" s="41" t="str">
        <f t="shared" ca="1" si="7"/>
        <v/>
      </c>
      <c r="N80" s="52" t="str">
        <f t="shared" si="8"/>
        <v/>
      </c>
      <c r="O80" s="55"/>
      <c r="Q80" t="str">
        <f ca="1">IF(AND($A80&lt;&gt;"",ISNUMBER(M80)),COUNTIF($M$4:$M$200,"&gt;"&amp;M80)+COUNTIF($M$4:M80,M80),"")</f>
        <v/>
      </c>
    </row>
    <row r="81" spans="2:17" x14ac:dyDescent="0.3">
      <c r="B81" s="49" t="str">
        <f>IFERROR(INDEX('Position Database'!B:B,MATCH($A81,'Position Database'!$A:$A,0)),"")</f>
        <v/>
      </c>
      <c r="C81" s="50" t="str">
        <f>IFERROR(INDEX('Position Database'!C:C,MATCH($A81,'Position Database'!$A:$A,0)),"")</f>
        <v/>
      </c>
      <c r="D81" s="41" t="str">
        <f>IFERROR(INDEX('Position Database'!D:D,MATCH($A81,'Position Database'!$A:$A,0)),"")</f>
        <v/>
      </c>
      <c r="E81" s="54"/>
      <c r="L81" s="52" t="str">
        <f t="shared" si="6"/>
        <v/>
      </c>
      <c r="M81" s="41" t="str">
        <f t="shared" ca="1" si="7"/>
        <v/>
      </c>
      <c r="N81" s="52" t="str">
        <f t="shared" si="8"/>
        <v/>
      </c>
      <c r="O81" s="55"/>
      <c r="Q81" t="str">
        <f ca="1">IF(AND($A81&lt;&gt;"",ISNUMBER(M81)),COUNTIF($M$4:$M$200,"&gt;"&amp;M81)+COUNTIF($M$4:M81,M81),"")</f>
        <v/>
      </c>
    </row>
    <row r="82" spans="2:17" x14ac:dyDescent="0.3">
      <c r="B82" s="49" t="str">
        <f>IFERROR(INDEX('Position Database'!B:B,MATCH($A82,'Position Database'!$A:$A,0)),"")</f>
        <v/>
      </c>
      <c r="C82" s="50" t="str">
        <f>IFERROR(INDEX('Position Database'!C:C,MATCH($A82,'Position Database'!$A:$A,0)),"")</f>
        <v/>
      </c>
      <c r="D82" s="41" t="str">
        <f>IFERROR(INDEX('Position Database'!D:D,MATCH($A82,'Position Database'!$A:$A,0)),"")</f>
        <v/>
      </c>
      <c r="E82" s="54"/>
      <c r="L82" s="52" t="str">
        <f t="shared" si="6"/>
        <v/>
      </c>
      <c r="M82" s="41" t="str">
        <f t="shared" ca="1" si="7"/>
        <v/>
      </c>
      <c r="N82" s="52" t="str">
        <f t="shared" si="8"/>
        <v/>
      </c>
      <c r="O82" s="55"/>
      <c r="Q82" t="str">
        <f ca="1">IF(AND($A82&lt;&gt;"",ISNUMBER(M82)),COUNTIF($M$4:$M$200,"&gt;"&amp;M82)+COUNTIF($M$4:M82,M82),"")</f>
        <v/>
      </c>
    </row>
    <row r="83" spans="2:17" x14ac:dyDescent="0.3">
      <c r="B83" s="49" t="str">
        <f>IFERROR(INDEX('Position Database'!B:B,MATCH($A83,'Position Database'!$A:$A,0)),"")</f>
        <v/>
      </c>
      <c r="C83" s="50" t="str">
        <f>IFERROR(INDEX('Position Database'!C:C,MATCH($A83,'Position Database'!$A:$A,0)),"")</f>
        <v/>
      </c>
      <c r="D83" s="41" t="str">
        <f>IFERROR(INDEX('Position Database'!D:D,MATCH($A83,'Position Database'!$A:$A,0)),"")</f>
        <v/>
      </c>
      <c r="E83" s="54"/>
      <c r="L83" s="52" t="str">
        <f t="shared" si="6"/>
        <v/>
      </c>
      <c r="M83" s="41" t="str">
        <f t="shared" ca="1" si="7"/>
        <v/>
      </c>
      <c r="N83" s="52" t="str">
        <f t="shared" si="8"/>
        <v/>
      </c>
      <c r="O83" s="55"/>
      <c r="Q83" t="str">
        <f ca="1">IF(AND($A83&lt;&gt;"",ISNUMBER(M83)),COUNTIF($M$4:$M$200,"&gt;"&amp;M83)+COUNTIF($M$4:M83,M83),"")</f>
        <v/>
      </c>
    </row>
    <row r="84" spans="2:17" x14ac:dyDescent="0.3">
      <c r="B84" s="49" t="str">
        <f>IFERROR(INDEX('Position Database'!B:B,MATCH($A84,'Position Database'!$A:$A,0)),"")</f>
        <v/>
      </c>
      <c r="C84" s="50" t="str">
        <f>IFERROR(INDEX('Position Database'!C:C,MATCH($A84,'Position Database'!$A:$A,0)),"")</f>
        <v/>
      </c>
      <c r="D84" s="41" t="str">
        <f>IFERROR(INDEX('Position Database'!D:D,MATCH($A84,'Position Database'!$A:$A,0)),"")</f>
        <v/>
      </c>
      <c r="E84" s="54"/>
      <c r="L84" s="52" t="str">
        <f t="shared" si="6"/>
        <v/>
      </c>
      <c r="M84" s="41" t="str">
        <f t="shared" ca="1" si="7"/>
        <v/>
      </c>
      <c r="N84" s="52" t="str">
        <f t="shared" si="8"/>
        <v/>
      </c>
      <c r="O84" s="55"/>
      <c r="Q84" t="str">
        <f ca="1">IF(AND($A84&lt;&gt;"",ISNUMBER(M84)),COUNTIF($M$4:$M$200,"&gt;"&amp;M84)+COUNTIF($M$4:M84,M84),"")</f>
        <v/>
      </c>
    </row>
    <row r="85" spans="2:17" x14ac:dyDescent="0.3">
      <c r="B85" s="49" t="str">
        <f>IFERROR(INDEX('Position Database'!B:B,MATCH($A85,'Position Database'!$A:$A,0)),"")</f>
        <v/>
      </c>
      <c r="C85" s="50" t="str">
        <f>IFERROR(INDEX('Position Database'!C:C,MATCH($A85,'Position Database'!$A:$A,0)),"")</f>
        <v/>
      </c>
      <c r="D85" s="41" t="str">
        <f>IFERROR(INDEX('Position Database'!D:D,MATCH($A85,'Position Database'!$A:$A,0)),"")</f>
        <v/>
      </c>
      <c r="E85" s="54"/>
      <c r="L85" s="52" t="str">
        <f t="shared" si="6"/>
        <v/>
      </c>
      <c r="M85" s="41" t="str">
        <f t="shared" ca="1" si="7"/>
        <v/>
      </c>
      <c r="N85" s="52" t="str">
        <f t="shared" si="8"/>
        <v/>
      </c>
      <c r="O85" s="55"/>
      <c r="Q85" t="str">
        <f ca="1">IF(AND($A85&lt;&gt;"",ISNUMBER(M85)),COUNTIF($M$4:$M$200,"&gt;"&amp;M85)+COUNTIF($M$4:M85,M85),"")</f>
        <v/>
      </c>
    </row>
    <row r="86" spans="2:17" x14ac:dyDescent="0.3">
      <c r="B86" s="49" t="str">
        <f>IFERROR(INDEX('Position Database'!B:B,MATCH($A86,'Position Database'!$A:$A,0)),"")</f>
        <v/>
      </c>
      <c r="C86" s="50" t="str">
        <f>IFERROR(INDEX('Position Database'!C:C,MATCH($A86,'Position Database'!$A:$A,0)),"")</f>
        <v/>
      </c>
      <c r="D86" s="41" t="str">
        <f>IFERROR(INDEX('Position Database'!D:D,MATCH($A86,'Position Database'!$A:$A,0)),"")</f>
        <v/>
      </c>
      <c r="E86" s="54"/>
      <c r="L86" s="52" t="str">
        <f t="shared" si="6"/>
        <v/>
      </c>
      <c r="M86" s="41" t="str">
        <f t="shared" ca="1" si="7"/>
        <v/>
      </c>
      <c r="N86" s="52" t="str">
        <f t="shared" si="8"/>
        <v/>
      </c>
      <c r="O86" s="55"/>
      <c r="Q86" t="str">
        <f ca="1">IF(AND($A86&lt;&gt;"",ISNUMBER(M86)),COUNTIF($M$4:$M$200,"&gt;"&amp;M86)+COUNTIF($M$4:M86,M86),"")</f>
        <v/>
      </c>
    </row>
    <row r="87" spans="2:17" x14ac:dyDescent="0.3">
      <c r="B87" s="49" t="str">
        <f>IFERROR(INDEX('Position Database'!B:B,MATCH($A87,'Position Database'!$A:$A,0)),"")</f>
        <v/>
      </c>
      <c r="C87" s="50" t="str">
        <f>IFERROR(INDEX('Position Database'!C:C,MATCH($A87,'Position Database'!$A:$A,0)),"")</f>
        <v/>
      </c>
      <c r="D87" s="41" t="str">
        <f>IFERROR(INDEX('Position Database'!D:D,MATCH($A87,'Position Database'!$A:$A,0)),"")</f>
        <v/>
      </c>
      <c r="E87" s="54"/>
      <c r="L87" s="52" t="str">
        <f t="shared" si="6"/>
        <v/>
      </c>
      <c r="M87" s="41" t="str">
        <f t="shared" ca="1" si="7"/>
        <v/>
      </c>
      <c r="N87" s="52" t="str">
        <f t="shared" si="8"/>
        <v/>
      </c>
      <c r="O87" s="55"/>
      <c r="Q87" t="str">
        <f ca="1">IF(AND($A87&lt;&gt;"",ISNUMBER(M87)),COUNTIF($M$4:$M$200,"&gt;"&amp;M87)+COUNTIF($M$4:M87,M87),"")</f>
        <v/>
      </c>
    </row>
    <row r="88" spans="2:17" x14ac:dyDescent="0.3">
      <c r="B88" s="49" t="str">
        <f>IFERROR(INDEX('Position Database'!B:B,MATCH($A88,'Position Database'!$A:$A,0)),"")</f>
        <v/>
      </c>
      <c r="C88" s="50" t="str">
        <f>IFERROR(INDEX('Position Database'!C:C,MATCH($A88,'Position Database'!$A:$A,0)),"")</f>
        <v/>
      </c>
      <c r="D88" s="41" t="str">
        <f>IFERROR(INDEX('Position Database'!D:D,MATCH($A88,'Position Database'!$A:$A,0)),"")</f>
        <v/>
      </c>
      <c r="E88" s="54"/>
      <c r="L88" s="52" t="str">
        <f t="shared" si="6"/>
        <v/>
      </c>
      <c r="M88" s="41" t="str">
        <f t="shared" ca="1" si="7"/>
        <v/>
      </c>
      <c r="N88" s="52" t="str">
        <f t="shared" si="8"/>
        <v/>
      </c>
      <c r="O88" s="55"/>
      <c r="Q88" t="str">
        <f ca="1">IF(AND($A88&lt;&gt;"",ISNUMBER(M88)),COUNTIF($M$4:$M$200,"&gt;"&amp;M88)+COUNTIF($M$4:M88,M88),"")</f>
        <v/>
      </c>
    </row>
    <row r="89" spans="2:17" x14ac:dyDescent="0.3">
      <c r="B89" s="49" t="str">
        <f>IFERROR(INDEX('Position Database'!B:B,MATCH($A89,'Position Database'!$A:$A,0)),"")</f>
        <v/>
      </c>
      <c r="C89" s="50" t="str">
        <f>IFERROR(INDEX('Position Database'!C:C,MATCH($A89,'Position Database'!$A:$A,0)),"")</f>
        <v/>
      </c>
      <c r="D89" s="41" t="str">
        <f>IFERROR(INDEX('Position Database'!D:D,MATCH($A89,'Position Database'!$A:$A,0)),"")</f>
        <v/>
      </c>
      <c r="E89" s="54"/>
      <c r="L89" s="52" t="str">
        <f t="shared" si="6"/>
        <v/>
      </c>
      <c r="M89" s="41" t="str">
        <f t="shared" ca="1" si="7"/>
        <v/>
      </c>
      <c r="N89" s="52" t="str">
        <f t="shared" si="8"/>
        <v/>
      </c>
      <c r="O89" s="55"/>
      <c r="Q89" t="str">
        <f ca="1">IF(AND($A89&lt;&gt;"",ISNUMBER(M89)),COUNTIF($M$4:$M$200,"&gt;"&amp;M89)+COUNTIF($M$4:M89,M89),"")</f>
        <v/>
      </c>
    </row>
    <row r="90" spans="2:17" x14ac:dyDescent="0.3">
      <c r="B90" s="49" t="str">
        <f>IFERROR(INDEX('Position Database'!B:B,MATCH($A90,'Position Database'!$A:$A,0)),"")</f>
        <v/>
      </c>
      <c r="C90" s="50" t="str">
        <f>IFERROR(INDEX('Position Database'!C:C,MATCH($A90,'Position Database'!$A:$A,0)),"")</f>
        <v/>
      </c>
      <c r="D90" s="41" t="str">
        <f>IFERROR(INDEX('Position Database'!D:D,MATCH($A90,'Position Database'!$A:$A,0)),"")</f>
        <v/>
      </c>
      <c r="E90" s="54"/>
      <c r="L90" s="52" t="str">
        <f t="shared" si="6"/>
        <v/>
      </c>
      <c r="M90" s="41" t="str">
        <f t="shared" ca="1" si="7"/>
        <v/>
      </c>
      <c r="N90" s="52" t="str">
        <f t="shared" si="8"/>
        <v/>
      </c>
      <c r="O90" s="55"/>
      <c r="Q90" t="str">
        <f ca="1">IF(AND($A90&lt;&gt;"",ISNUMBER(M90)),COUNTIF($M$4:$M$200,"&gt;"&amp;M90)+COUNTIF($M$4:M90,M90),"")</f>
        <v/>
      </c>
    </row>
    <row r="91" spans="2:17" x14ac:dyDescent="0.3">
      <c r="B91" s="49" t="str">
        <f>IFERROR(INDEX('Position Database'!B:B,MATCH($A91,'Position Database'!$A:$A,0)),"")</f>
        <v/>
      </c>
      <c r="C91" s="50" t="str">
        <f>IFERROR(INDEX('Position Database'!C:C,MATCH($A91,'Position Database'!$A:$A,0)),"")</f>
        <v/>
      </c>
      <c r="D91" s="41" t="str">
        <f>IFERROR(INDEX('Position Database'!D:D,MATCH($A91,'Position Database'!$A:$A,0)),"")</f>
        <v/>
      </c>
      <c r="E91" s="54"/>
      <c r="L91" s="52" t="str">
        <f t="shared" si="6"/>
        <v/>
      </c>
      <c r="M91" s="41" t="str">
        <f t="shared" ca="1" si="7"/>
        <v/>
      </c>
      <c r="N91" s="52" t="str">
        <f t="shared" si="8"/>
        <v/>
      </c>
      <c r="O91" s="55"/>
      <c r="Q91" t="str">
        <f ca="1">IF(AND($A91&lt;&gt;"",ISNUMBER(M91)),COUNTIF($M$4:$M$200,"&gt;"&amp;M91)+COUNTIF($M$4:M91,M91),"")</f>
        <v/>
      </c>
    </row>
    <row r="92" spans="2:17" x14ac:dyDescent="0.3">
      <c r="B92" s="49" t="str">
        <f>IFERROR(INDEX('Position Database'!B:B,MATCH($A92,'Position Database'!$A:$A,0)),"")</f>
        <v/>
      </c>
      <c r="C92" s="50" t="str">
        <f>IFERROR(INDEX('Position Database'!C:C,MATCH($A92,'Position Database'!$A:$A,0)),"")</f>
        <v/>
      </c>
      <c r="D92" s="41" t="str">
        <f>IFERROR(INDEX('Position Database'!D:D,MATCH($A92,'Position Database'!$A:$A,0)),"")</f>
        <v/>
      </c>
      <c r="E92" s="54"/>
      <c r="L92" s="52" t="str">
        <f t="shared" si="6"/>
        <v/>
      </c>
      <c r="M92" s="41" t="str">
        <f t="shared" ca="1" si="7"/>
        <v/>
      </c>
      <c r="N92" s="52" t="str">
        <f t="shared" si="8"/>
        <v/>
      </c>
      <c r="O92" s="55"/>
      <c r="Q92" t="str">
        <f ca="1">IF(AND($A92&lt;&gt;"",ISNUMBER(M92)),COUNTIF($M$4:$M$200,"&gt;"&amp;M92)+COUNTIF($M$4:M92,M92),"")</f>
        <v/>
      </c>
    </row>
    <row r="93" spans="2:17" x14ac:dyDescent="0.3">
      <c r="B93" s="49" t="str">
        <f>IFERROR(INDEX('Position Database'!B:B,MATCH($A93,'Position Database'!$A:$A,0)),"")</f>
        <v/>
      </c>
      <c r="C93" s="50" t="str">
        <f>IFERROR(INDEX('Position Database'!C:C,MATCH($A93,'Position Database'!$A:$A,0)),"")</f>
        <v/>
      </c>
      <c r="D93" s="41" t="str">
        <f>IFERROR(INDEX('Position Database'!D:D,MATCH($A93,'Position Database'!$A:$A,0)),"")</f>
        <v/>
      </c>
      <c r="E93" s="54"/>
      <c r="L93" s="52" t="str">
        <f t="shared" si="6"/>
        <v/>
      </c>
      <c r="M93" s="41" t="str">
        <f t="shared" ca="1" si="7"/>
        <v/>
      </c>
      <c r="N93" s="52" t="str">
        <f t="shared" si="8"/>
        <v/>
      </c>
      <c r="O93" s="55"/>
      <c r="Q93" t="str">
        <f ca="1">IF(AND($A93&lt;&gt;"",ISNUMBER(M93)),COUNTIF($M$4:$M$200,"&gt;"&amp;M93)+COUNTIF($M$4:M93,M93),"")</f>
        <v/>
      </c>
    </row>
    <row r="94" spans="2:17" x14ac:dyDescent="0.3">
      <c r="B94" s="49" t="str">
        <f>IFERROR(INDEX('Position Database'!B:B,MATCH($A94,'Position Database'!$A:$A,0)),"")</f>
        <v/>
      </c>
      <c r="C94" s="50" t="str">
        <f>IFERROR(INDEX('Position Database'!C:C,MATCH($A94,'Position Database'!$A:$A,0)),"")</f>
        <v/>
      </c>
      <c r="D94" s="41" t="str">
        <f>IFERROR(INDEX('Position Database'!D:D,MATCH($A94,'Position Database'!$A:$A,0)),"")</f>
        <v/>
      </c>
      <c r="E94" s="54"/>
      <c r="L94" s="52" t="str">
        <f t="shared" si="6"/>
        <v/>
      </c>
      <c r="M94" s="41" t="str">
        <f t="shared" ca="1" si="7"/>
        <v/>
      </c>
      <c r="N94" s="52" t="str">
        <f t="shared" si="8"/>
        <v/>
      </c>
      <c r="O94" s="55"/>
      <c r="Q94" t="str">
        <f ca="1">IF(AND($A94&lt;&gt;"",ISNUMBER(M94)),COUNTIF($M$4:$M$200,"&gt;"&amp;M94)+COUNTIF($M$4:M94,M94),"")</f>
        <v/>
      </c>
    </row>
    <row r="95" spans="2:17" x14ac:dyDescent="0.3">
      <c r="B95" s="49" t="str">
        <f>IFERROR(INDEX('Position Database'!B:B,MATCH($A95,'Position Database'!$A:$A,0)),"")</f>
        <v/>
      </c>
      <c r="C95" s="50" t="str">
        <f>IFERROR(INDEX('Position Database'!C:C,MATCH($A95,'Position Database'!$A:$A,0)),"")</f>
        <v/>
      </c>
      <c r="D95" s="41" t="str">
        <f>IFERROR(INDEX('Position Database'!D:D,MATCH($A95,'Position Database'!$A:$A,0)),"")</f>
        <v/>
      </c>
      <c r="E95" s="54"/>
      <c r="L95" s="52" t="str">
        <f t="shared" si="6"/>
        <v/>
      </c>
      <c r="M95" s="41" t="str">
        <f t="shared" ca="1" si="7"/>
        <v/>
      </c>
      <c r="N95" s="52" t="str">
        <f t="shared" si="8"/>
        <v/>
      </c>
      <c r="O95" s="55"/>
      <c r="Q95" t="str">
        <f ca="1">IF(AND($A95&lt;&gt;"",ISNUMBER(M95)),COUNTIF($M$4:$M$200,"&gt;"&amp;M95)+COUNTIF($M$4:M95,M95),"")</f>
        <v/>
      </c>
    </row>
    <row r="96" spans="2:17" x14ac:dyDescent="0.3">
      <c r="B96" s="49" t="str">
        <f>IFERROR(INDEX('Position Database'!B:B,MATCH($A96,'Position Database'!$A:$A,0)),"")</f>
        <v/>
      </c>
      <c r="C96" s="50" t="str">
        <f>IFERROR(INDEX('Position Database'!C:C,MATCH($A96,'Position Database'!$A:$A,0)),"")</f>
        <v/>
      </c>
      <c r="D96" s="41" t="str">
        <f>IFERROR(INDEX('Position Database'!D:D,MATCH($A96,'Position Database'!$A:$A,0)),"")</f>
        <v/>
      </c>
      <c r="E96" s="54"/>
      <c r="L96" s="52" t="str">
        <f t="shared" si="6"/>
        <v/>
      </c>
      <c r="M96" s="41" t="str">
        <f t="shared" ca="1" si="7"/>
        <v/>
      </c>
      <c r="N96" s="52" t="str">
        <f t="shared" si="8"/>
        <v/>
      </c>
      <c r="O96" s="55"/>
      <c r="Q96" t="str">
        <f ca="1">IF(AND($A96&lt;&gt;"",ISNUMBER(M96)),COUNTIF($M$4:$M$200,"&gt;"&amp;M96)+COUNTIF($M$4:M96,M96),"")</f>
        <v/>
      </c>
    </row>
    <row r="97" spans="2:17" x14ac:dyDescent="0.3">
      <c r="B97" s="49" t="str">
        <f>IFERROR(INDEX('Position Database'!B:B,MATCH($A97,'Position Database'!$A:$A,0)),"")</f>
        <v/>
      </c>
      <c r="C97" s="50" t="str">
        <f>IFERROR(INDEX('Position Database'!C:C,MATCH($A97,'Position Database'!$A:$A,0)),"")</f>
        <v/>
      </c>
      <c r="D97" s="41" t="str">
        <f>IFERROR(INDEX('Position Database'!D:D,MATCH($A97,'Position Database'!$A:$A,0)),"")</f>
        <v/>
      </c>
      <c r="E97" s="54"/>
      <c r="L97" s="52" t="str">
        <f t="shared" si="6"/>
        <v/>
      </c>
      <c r="M97" s="41" t="str">
        <f t="shared" ca="1" si="7"/>
        <v/>
      </c>
      <c r="N97" s="52" t="str">
        <f t="shared" si="8"/>
        <v/>
      </c>
      <c r="O97" s="55"/>
      <c r="Q97" t="str">
        <f ca="1">IF(AND($A97&lt;&gt;"",ISNUMBER(M97)),COUNTIF($M$4:$M$200,"&gt;"&amp;M97)+COUNTIF($M$4:M97,M97),"")</f>
        <v/>
      </c>
    </row>
    <row r="98" spans="2:17" x14ac:dyDescent="0.3">
      <c r="B98" s="49" t="str">
        <f>IFERROR(INDEX('Position Database'!B:B,MATCH($A98,'Position Database'!$A:$A,0)),"")</f>
        <v/>
      </c>
      <c r="C98" s="50" t="str">
        <f>IFERROR(INDEX('Position Database'!C:C,MATCH($A98,'Position Database'!$A:$A,0)),"")</f>
        <v/>
      </c>
      <c r="D98" s="41" t="str">
        <f>IFERROR(INDEX('Position Database'!D:D,MATCH($A98,'Position Database'!$A:$A,0)),"")</f>
        <v/>
      </c>
      <c r="E98" s="54"/>
      <c r="L98" s="52" t="str">
        <f t="shared" si="6"/>
        <v/>
      </c>
      <c r="M98" s="41" t="str">
        <f t="shared" ca="1" si="7"/>
        <v/>
      </c>
      <c r="N98" s="52" t="str">
        <f t="shared" si="8"/>
        <v/>
      </c>
      <c r="O98" s="55"/>
      <c r="Q98" t="str">
        <f ca="1">IF(AND($A98&lt;&gt;"",ISNUMBER(M98)),COUNTIF($M$4:$M$200,"&gt;"&amp;M98)+COUNTIF($M$4:M98,M98),"")</f>
        <v/>
      </c>
    </row>
    <row r="99" spans="2:17" x14ac:dyDescent="0.3">
      <c r="B99" s="49" t="str">
        <f>IFERROR(INDEX('Position Database'!B:B,MATCH($A99,'Position Database'!$A:$A,0)),"")</f>
        <v/>
      </c>
      <c r="C99" s="50" t="str">
        <f>IFERROR(INDEX('Position Database'!C:C,MATCH($A99,'Position Database'!$A:$A,0)),"")</f>
        <v/>
      </c>
      <c r="D99" s="41" t="str">
        <f>IFERROR(INDEX('Position Database'!D:D,MATCH($A99,'Position Database'!$A:$A,0)),"")</f>
        <v/>
      </c>
      <c r="E99" s="54"/>
      <c r="L99" s="52" t="str">
        <f t="shared" si="6"/>
        <v/>
      </c>
      <c r="M99" s="41" t="str">
        <f t="shared" ca="1" si="7"/>
        <v/>
      </c>
      <c r="N99" s="52" t="str">
        <f t="shared" si="8"/>
        <v/>
      </c>
      <c r="O99" s="55"/>
      <c r="Q99" t="str">
        <f ca="1">IF(AND($A99&lt;&gt;"",ISNUMBER(M99)),COUNTIF($M$4:$M$200,"&gt;"&amp;M99)+COUNTIF($M$4:M99,M99),"")</f>
        <v/>
      </c>
    </row>
    <row r="100" spans="2:17" x14ac:dyDescent="0.3">
      <c r="B100" s="49" t="str">
        <f>IFERROR(INDEX('Position Database'!B:B,MATCH($A100,'Position Database'!$A:$A,0)),"")</f>
        <v/>
      </c>
      <c r="C100" s="50" t="str">
        <f>IFERROR(INDEX('Position Database'!C:C,MATCH($A100,'Position Database'!$A:$A,0)),"")</f>
        <v/>
      </c>
      <c r="D100" s="41" t="str">
        <f>IFERROR(INDEX('Position Database'!D:D,MATCH($A100,'Position Database'!$A:$A,0)),"")</f>
        <v/>
      </c>
      <c r="E100" s="54"/>
      <c r="L100" s="52" t="str">
        <f t="shared" ref="L100:L131" si="9">IF(COUNT(E100,I100,J100,K100)=0,"",MAX(E100,I100,J100,K100))</f>
        <v/>
      </c>
      <c r="M100" s="41" t="str">
        <f t="shared" ref="M100:M131" ca="1" si="10">IF(OR($A100="",NOT(ISNUMBER(L100))),"",IF(OR(O100="Positive Reply",O100="Accepted",O100="Rejected"),"",TODAY()-L100))</f>
        <v/>
      </c>
      <c r="N100" s="52" t="str">
        <f t="shared" ref="N100:N131" si="11">IF(OR($A100="",NOT(ISNUMBER(L100))),"",IF(OR(O100="Positive Reply",O100="Accepted",O100="Rejected"),"",L100+14))</f>
        <v/>
      </c>
      <c r="O100" s="55"/>
      <c r="Q100" t="str">
        <f ca="1">IF(AND($A100&lt;&gt;"",ISNUMBER(M100)),COUNTIF($M$4:$M$200,"&gt;"&amp;M100)+COUNTIF($M$4:M100,M100),"")</f>
        <v/>
      </c>
    </row>
    <row r="101" spans="2:17" x14ac:dyDescent="0.3">
      <c r="B101" s="49" t="str">
        <f>IFERROR(INDEX('Position Database'!B:B,MATCH($A101,'Position Database'!$A:$A,0)),"")</f>
        <v/>
      </c>
      <c r="C101" s="50" t="str">
        <f>IFERROR(INDEX('Position Database'!C:C,MATCH($A101,'Position Database'!$A:$A,0)),"")</f>
        <v/>
      </c>
      <c r="D101" s="41" t="str">
        <f>IFERROR(INDEX('Position Database'!D:D,MATCH($A101,'Position Database'!$A:$A,0)),"")</f>
        <v/>
      </c>
      <c r="E101" s="54"/>
      <c r="L101" s="52" t="str">
        <f t="shared" si="9"/>
        <v/>
      </c>
      <c r="M101" s="41" t="str">
        <f t="shared" ca="1" si="10"/>
        <v/>
      </c>
      <c r="N101" s="52" t="str">
        <f t="shared" si="11"/>
        <v/>
      </c>
      <c r="O101" s="55"/>
      <c r="Q101" t="str">
        <f ca="1">IF(AND($A101&lt;&gt;"",ISNUMBER(M101)),COUNTIF($M$4:$M$200,"&gt;"&amp;M101)+COUNTIF($M$4:M101,M101),"")</f>
        <v/>
      </c>
    </row>
    <row r="102" spans="2:17" x14ac:dyDescent="0.3">
      <c r="B102" s="49" t="str">
        <f>IFERROR(INDEX('Position Database'!B:B,MATCH($A102,'Position Database'!$A:$A,0)),"")</f>
        <v/>
      </c>
      <c r="C102" s="50" t="str">
        <f>IFERROR(INDEX('Position Database'!C:C,MATCH($A102,'Position Database'!$A:$A,0)),"")</f>
        <v/>
      </c>
      <c r="D102" s="41" t="str">
        <f>IFERROR(INDEX('Position Database'!D:D,MATCH($A102,'Position Database'!$A:$A,0)),"")</f>
        <v/>
      </c>
      <c r="E102" s="54"/>
      <c r="L102" s="52" t="str">
        <f t="shared" si="9"/>
        <v/>
      </c>
      <c r="M102" s="41" t="str">
        <f t="shared" ca="1" si="10"/>
        <v/>
      </c>
      <c r="N102" s="52" t="str">
        <f t="shared" si="11"/>
        <v/>
      </c>
      <c r="O102" s="55"/>
      <c r="Q102" t="str">
        <f ca="1">IF(AND($A102&lt;&gt;"",ISNUMBER(M102)),COUNTIF($M$4:$M$200,"&gt;"&amp;M102)+COUNTIF($M$4:M102,M102),"")</f>
        <v/>
      </c>
    </row>
    <row r="103" spans="2:17" x14ac:dyDescent="0.3">
      <c r="B103" s="49" t="str">
        <f>IFERROR(INDEX('Position Database'!B:B,MATCH($A103,'Position Database'!$A:$A,0)),"")</f>
        <v/>
      </c>
      <c r="C103" s="50" t="str">
        <f>IFERROR(INDEX('Position Database'!C:C,MATCH($A103,'Position Database'!$A:$A,0)),"")</f>
        <v/>
      </c>
      <c r="D103" s="41" t="str">
        <f>IFERROR(INDEX('Position Database'!D:D,MATCH($A103,'Position Database'!$A:$A,0)),"")</f>
        <v/>
      </c>
      <c r="E103" s="54"/>
      <c r="L103" s="52" t="str">
        <f t="shared" si="9"/>
        <v/>
      </c>
      <c r="M103" s="41" t="str">
        <f t="shared" ca="1" si="10"/>
        <v/>
      </c>
      <c r="N103" s="52" t="str">
        <f t="shared" si="11"/>
        <v/>
      </c>
      <c r="O103" s="55"/>
      <c r="Q103" t="str">
        <f ca="1">IF(AND($A103&lt;&gt;"",ISNUMBER(M103)),COUNTIF($M$4:$M$200,"&gt;"&amp;M103)+COUNTIF($M$4:M103,M103),"")</f>
        <v/>
      </c>
    </row>
    <row r="104" spans="2:17" x14ac:dyDescent="0.3">
      <c r="B104" s="49" t="str">
        <f>IFERROR(INDEX('Position Database'!B:B,MATCH($A104,'Position Database'!$A:$A,0)),"")</f>
        <v/>
      </c>
      <c r="C104" s="50" t="str">
        <f>IFERROR(INDEX('Position Database'!C:C,MATCH($A104,'Position Database'!$A:$A,0)),"")</f>
        <v/>
      </c>
      <c r="D104" s="41" t="str">
        <f>IFERROR(INDEX('Position Database'!D:D,MATCH($A104,'Position Database'!$A:$A,0)),"")</f>
        <v/>
      </c>
      <c r="E104" s="54"/>
      <c r="L104" s="52" t="str">
        <f t="shared" si="9"/>
        <v/>
      </c>
      <c r="M104" s="41" t="str">
        <f t="shared" ca="1" si="10"/>
        <v/>
      </c>
      <c r="N104" s="52" t="str">
        <f t="shared" si="11"/>
        <v/>
      </c>
      <c r="O104" s="55"/>
      <c r="Q104" t="str">
        <f ca="1">IF(AND($A104&lt;&gt;"",ISNUMBER(M104)),COUNTIF($M$4:$M$200,"&gt;"&amp;M104)+COUNTIF($M$4:M104,M104),"")</f>
        <v/>
      </c>
    </row>
    <row r="105" spans="2:17" x14ac:dyDescent="0.3">
      <c r="B105" s="49" t="str">
        <f>IFERROR(INDEX('Position Database'!B:B,MATCH($A105,'Position Database'!$A:$A,0)),"")</f>
        <v/>
      </c>
      <c r="C105" s="50" t="str">
        <f>IFERROR(INDEX('Position Database'!C:C,MATCH($A105,'Position Database'!$A:$A,0)),"")</f>
        <v/>
      </c>
      <c r="D105" s="41" t="str">
        <f>IFERROR(INDEX('Position Database'!D:D,MATCH($A105,'Position Database'!$A:$A,0)),"")</f>
        <v/>
      </c>
      <c r="E105" s="54"/>
      <c r="L105" s="52" t="str">
        <f t="shared" si="9"/>
        <v/>
      </c>
      <c r="M105" s="41" t="str">
        <f t="shared" ca="1" si="10"/>
        <v/>
      </c>
      <c r="N105" s="52" t="str">
        <f t="shared" si="11"/>
        <v/>
      </c>
      <c r="O105" s="55"/>
      <c r="Q105" t="str">
        <f ca="1">IF(AND($A105&lt;&gt;"",ISNUMBER(M105)),COUNTIF($M$4:$M$200,"&gt;"&amp;M105)+COUNTIF($M$4:M105,M105),"")</f>
        <v/>
      </c>
    </row>
    <row r="106" spans="2:17" x14ac:dyDescent="0.3">
      <c r="B106" s="49" t="str">
        <f>IFERROR(INDEX('Position Database'!B:B,MATCH($A106,'Position Database'!$A:$A,0)),"")</f>
        <v/>
      </c>
      <c r="C106" s="50" t="str">
        <f>IFERROR(INDEX('Position Database'!C:C,MATCH($A106,'Position Database'!$A:$A,0)),"")</f>
        <v/>
      </c>
      <c r="D106" s="41" t="str">
        <f>IFERROR(INDEX('Position Database'!D:D,MATCH($A106,'Position Database'!$A:$A,0)),"")</f>
        <v/>
      </c>
      <c r="E106" s="54"/>
      <c r="L106" s="52" t="str">
        <f t="shared" si="9"/>
        <v/>
      </c>
      <c r="M106" s="41" t="str">
        <f t="shared" ca="1" si="10"/>
        <v/>
      </c>
      <c r="N106" s="52" t="str">
        <f t="shared" si="11"/>
        <v/>
      </c>
      <c r="O106" s="55"/>
      <c r="Q106" t="str">
        <f ca="1">IF(AND($A106&lt;&gt;"",ISNUMBER(M106)),COUNTIF($M$4:$M$200,"&gt;"&amp;M106)+COUNTIF($M$4:M106,M106),"")</f>
        <v/>
      </c>
    </row>
    <row r="107" spans="2:17" x14ac:dyDescent="0.3">
      <c r="B107" s="49" t="str">
        <f>IFERROR(INDEX('Position Database'!B:B,MATCH($A107,'Position Database'!$A:$A,0)),"")</f>
        <v/>
      </c>
      <c r="C107" s="50" t="str">
        <f>IFERROR(INDEX('Position Database'!C:C,MATCH($A107,'Position Database'!$A:$A,0)),"")</f>
        <v/>
      </c>
      <c r="D107" s="41" t="str">
        <f>IFERROR(INDEX('Position Database'!D:D,MATCH($A107,'Position Database'!$A:$A,0)),"")</f>
        <v/>
      </c>
      <c r="E107" s="54"/>
      <c r="L107" s="52" t="str">
        <f t="shared" si="9"/>
        <v/>
      </c>
      <c r="M107" s="41" t="str">
        <f t="shared" ca="1" si="10"/>
        <v/>
      </c>
      <c r="N107" s="52" t="str">
        <f t="shared" si="11"/>
        <v/>
      </c>
      <c r="O107" s="55"/>
      <c r="Q107" t="str">
        <f ca="1">IF(AND($A107&lt;&gt;"",ISNUMBER(M107)),COUNTIF($M$4:$M$200,"&gt;"&amp;M107)+COUNTIF($M$4:M107,M107),"")</f>
        <v/>
      </c>
    </row>
    <row r="108" spans="2:17" x14ac:dyDescent="0.3">
      <c r="B108" s="49" t="str">
        <f>IFERROR(INDEX('Position Database'!B:B,MATCH($A108,'Position Database'!$A:$A,0)),"")</f>
        <v/>
      </c>
      <c r="C108" s="50" t="str">
        <f>IFERROR(INDEX('Position Database'!C:C,MATCH($A108,'Position Database'!$A:$A,0)),"")</f>
        <v/>
      </c>
      <c r="D108" s="41" t="str">
        <f>IFERROR(INDEX('Position Database'!D:D,MATCH($A108,'Position Database'!$A:$A,0)),"")</f>
        <v/>
      </c>
      <c r="E108" s="54"/>
      <c r="L108" s="52" t="str">
        <f t="shared" si="9"/>
        <v/>
      </c>
      <c r="M108" s="41" t="str">
        <f t="shared" ca="1" si="10"/>
        <v/>
      </c>
      <c r="N108" s="52" t="str">
        <f t="shared" si="11"/>
        <v/>
      </c>
      <c r="O108" s="55"/>
      <c r="Q108" t="str">
        <f ca="1">IF(AND($A108&lt;&gt;"",ISNUMBER(M108)),COUNTIF($M$4:$M$200,"&gt;"&amp;M108)+COUNTIF($M$4:M108,M108),"")</f>
        <v/>
      </c>
    </row>
    <row r="109" spans="2:17" x14ac:dyDescent="0.3">
      <c r="B109" s="49" t="str">
        <f>IFERROR(INDEX('Position Database'!B:B,MATCH($A109,'Position Database'!$A:$A,0)),"")</f>
        <v/>
      </c>
      <c r="C109" s="50" t="str">
        <f>IFERROR(INDEX('Position Database'!C:C,MATCH($A109,'Position Database'!$A:$A,0)),"")</f>
        <v/>
      </c>
      <c r="D109" s="41" t="str">
        <f>IFERROR(INDEX('Position Database'!D:D,MATCH($A109,'Position Database'!$A:$A,0)),"")</f>
        <v/>
      </c>
      <c r="E109" s="54"/>
      <c r="L109" s="52" t="str">
        <f t="shared" si="9"/>
        <v/>
      </c>
      <c r="M109" s="41" t="str">
        <f t="shared" ca="1" si="10"/>
        <v/>
      </c>
      <c r="N109" s="52" t="str">
        <f t="shared" si="11"/>
        <v/>
      </c>
      <c r="O109" s="55"/>
      <c r="Q109" t="str">
        <f ca="1">IF(AND($A109&lt;&gt;"",ISNUMBER(M109)),COUNTIF($M$4:$M$200,"&gt;"&amp;M109)+COUNTIF($M$4:M109,M109),"")</f>
        <v/>
      </c>
    </row>
    <row r="110" spans="2:17" x14ac:dyDescent="0.3">
      <c r="B110" s="49" t="str">
        <f>IFERROR(INDEX('Position Database'!B:B,MATCH($A110,'Position Database'!$A:$A,0)),"")</f>
        <v/>
      </c>
      <c r="C110" s="50" t="str">
        <f>IFERROR(INDEX('Position Database'!C:C,MATCH($A110,'Position Database'!$A:$A,0)),"")</f>
        <v/>
      </c>
      <c r="D110" s="41" t="str">
        <f>IFERROR(INDEX('Position Database'!D:D,MATCH($A110,'Position Database'!$A:$A,0)),"")</f>
        <v/>
      </c>
      <c r="E110" s="54"/>
      <c r="L110" s="52" t="str">
        <f t="shared" si="9"/>
        <v/>
      </c>
      <c r="M110" s="41" t="str">
        <f t="shared" ca="1" si="10"/>
        <v/>
      </c>
      <c r="N110" s="52" t="str">
        <f t="shared" si="11"/>
        <v/>
      </c>
      <c r="O110" s="55"/>
      <c r="Q110" t="str">
        <f ca="1">IF(AND($A110&lt;&gt;"",ISNUMBER(M110)),COUNTIF($M$4:$M$200,"&gt;"&amp;M110)+COUNTIF($M$4:M110,M110),"")</f>
        <v/>
      </c>
    </row>
    <row r="111" spans="2:17" x14ac:dyDescent="0.3">
      <c r="B111" s="49" t="str">
        <f>IFERROR(INDEX('Position Database'!B:B,MATCH($A111,'Position Database'!$A:$A,0)),"")</f>
        <v/>
      </c>
      <c r="C111" s="50" t="str">
        <f>IFERROR(INDEX('Position Database'!C:C,MATCH($A111,'Position Database'!$A:$A,0)),"")</f>
        <v/>
      </c>
      <c r="D111" s="41" t="str">
        <f>IFERROR(INDEX('Position Database'!D:D,MATCH($A111,'Position Database'!$A:$A,0)),"")</f>
        <v/>
      </c>
      <c r="E111" s="54"/>
      <c r="L111" s="52" t="str">
        <f t="shared" si="9"/>
        <v/>
      </c>
      <c r="M111" s="41" t="str">
        <f t="shared" ca="1" si="10"/>
        <v/>
      </c>
      <c r="N111" s="52" t="str">
        <f t="shared" si="11"/>
        <v/>
      </c>
      <c r="O111" s="55"/>
      <c r="Q111" t="str">
        <f ca="1">IF(AND($A111&lt;&gt;"",ISNUMBER(M111)),COUNTIF($M$4:$M$200,"&gt;"&amp;M111)+COUNTIF($M$4:M111,M111),"")</f>
        <v/>
      </c>
    </row>
    <row r="112" spans="2:17" x14ac:dyDescent="0.3">
      <c r="B112" s="49" t="str">
        <f>IFERROR(INDEX('Position Database'!B:B,MATCH($A112,'Position Database'!$A:$A,0)),"")</f>
        <v/>
      </c>
      <c r="C112" s="50" t="str">
        <f>IFERROR(INDEX('Position Database'!C:C,MATCH($A112,'Position Database'!$A:$A,0)),"")</f>
        <v/>
      </c>
      <c r="D112" s="41" t="str">
        <f>IFERROR(INDEX('Position Database'!D:D,MATCH($A112,'Position Database'!$A:$A,0)),"")</f>
        <v/>
      </c>
      <c r="E112" s="54"/>
      <c r="L112" s="52" t="str">
        <f t="shared" si="9"/>
        <v/>
      </c>
      <c r="M112" s="41" t="str">
        <f t="shared" ca="1" si="10"/>
        <v/>
      </c>
      <c r="N112" s="52" t="str">
        <f t="shared" si="11"/>
        <v/>
      </c>
      <c r="O112" s="55"/>
      <c r="Q112" t="str">
        <f ca="1">IF(AND($A112&lt;&gt;"",ISNUMBER(M112)),COUNTIF($M$4:$M$200,"&gt;"&amp;M112)+COUNTIF($M$4:M112,M112),"")</f>
        <v/>
      </c>
    </row>
    <row r="113" spans="2:17" x14ac:dyDescent="0.3">
      <c r="B113" s="49" t="str">
        <f>IFERROR(INDEX('Position Database'!B:B,MATCH($A113,'Position Database'!$A:$A,0)),"")</f>
        <v/>
      </c>
      <c r="C113" s="50" t="str">
        <f>IFERROR(INDEX('Position Database'!C:C,MATCH($A113,'Position Database'!$A:$A,0)),"")</f>
        <v/>
      </c>
      <c r="D113" s="41" t="str">
        <f>IFERROR(INDEX('Position Database'!D:D,MATCH($A113,'Position Database'!$A:$A,0)),"")</f>
        <v/>
      </c>
      <c r="E113" s="54"/>
      <c r="L113" s="52" t="str">
        <f t="shared" si="9"/>
        <v/>
      </c>
      <c r="M113" s="41" t="str">
        <f t="shared" ca="1" si="10"/>
        <v/>
      </c>
      <c r="N113" s="52" t="str">
        <f t="shared" si="11"/>
        <v/>
      </c>
      <c r="O113" s="55"/>
      <c r="Q113" t="str">
        <f ca="1">IF(AND($A113&lt;&gt;"",ISNUMBER(M113)),COUNTIF($M$4:$M$200,"&gt;"&amp;M113)+COUNTIF($M$4:M113,M113),"")</f>
        <v/>
      </c>
    </row>
    <row r="114" spans="2:17" x14ac:dyDescent="0.3">
      <c r="B114" s="49" t="str">
        <f>IFERROR(INDEX('Position Database'!B:B,MATCH($A114,'Position Database'!$A:$A,0)),"")</f>
        <v/>
      </c>
      <c r="C114" s="50" t="str">
        <f>IFERROR(INDEX('Position Database'!C:C,MATCH($A114,'Position Database'!$A:$A,0)),"")</f>
        <v/>
      </c>
      <c r="D114" s="41" t="str">
        <f>IFERROR(INDEX('Position Database'!D:D,MATCH($A114,'Position Database'!$A:$A,0)),"")</f>
        <v/>
      </c>
      <c r="E114" s="54"/>
      <c r="L114" s="52" t="str">
        <f t="shared" si="9"/>
        <v/>
      </c>
      <c r="M114" s="41" t="str">
        <f t="shared" ca="1" si="10"/>
        <v/>
      </c>
      <c r="N114" s="52" t="str">
        <f t="shared" si="11"/>
        <v/>
      </c>
      <c r="O114" s="55"/>
      <c r="Q114" t="str">
        <f ca="1">IF(AND($A114&lt;&gt;"",ISNUMBER(M114)),COUNTIF($M$4:$M$200,"&gt;"&amp;M114)+COUNTIF($M$4:M114,M114),"")</f>
        <v/>
      </c>
    </row>
    <row r="115" spans="2:17" x14ac:dyDescent="0.3">
      <c r="B115" s="49" t="str">
        <f>IFERROR(INDEX('Position Database'!B:B,MATCH($A115,'Position Database'!$A:$A,0)),"")</f>
        <v/>
      </c>
      <c r="C115" s="50" t="str">
        <f>IFERROR(INDEX('Position Database'!C:C,MATCH($A115,'Position Database'!$A:$A,0)),"")</f>
        <v/>
      </c>
      <c r="D115" s="41" t="str">
        <f>IFERROR(INDEX('Position Database'!D:D,MATCH($A115,'Position Database'!$A:$A,0)),"")</f>
        <v/>
      </c>
      <c r="E115" s="54"/>
      <c r="L115" s="52" t="str">
        <f t="shared" si="9"/>
        <v/>
      </c>
      <c r="M115" s="41" t="str">
        <f t="shared" ca="1" si="10"/>
        <v/>
      </c>
      <c r="N115" s="52" t="str">
        <f t="shared" si="11"/>
        <v/>
      </c>
      <c r="O115" s="55"/>
      <c r="Q115" t="str">
        <f ca="1">IF(AND($A115&lt;&gt;"",ISNUMBER(M115)),COUNTIF($M$4:$M$200,"&gt;"&amp;M115)+COUNTIF($M$4:M115,M115),"")</f>
        <v/>
      </c>
    </row>
    <row r="116" spans="2:17" x14ac:dyDescent="0.3">
      <c r="B116" s="49" t="str">
        <f>IFERROR(INDEX('Position Database'!B:B,MATCH($A116,'Position Database'!$A:$A,0)),"")</f>
        <v/>
      </c>
      <c r="C116" s="50" t="str">
        <f>IFERROR(INDEX('Position Database'!C:C,MATCH($A116,'Position Database'!$A:$A,0)),"")</f>
        <v/>
      </c>
      <c r="D116" s="41" t="str">
        <f>IFERROR(INDEX('Position Database'!D:D,MATCH($A116,'Position Database'!$A:$A,0)),"")</f>
        <v/>
      </c>
      <c r="E116" s="54"/>
      <c r="L116" s="52" t="str">
        <f t="shared" si="9"/>
        <v/>
      </c>
      <c r="M116" s="41" t="str">
        <f t="shared" ca="1" si="10"/>
        <v/>
      </c>
      <c r="N116" s="52" t="str">
        <f t="shared" si="11"/>
        <v/>
      </c>
      <c r="O116" s="55"/>
      <c r="Q116" t="str">
        <f ca="1">IF(AND($A116&lt;&gt;"",ISNUMBER(M116)),COUNTIF($M$4:$M$200,"&gt;"&amp;M116)+COUNTIF($M$4:M116,M116),"")</f>
        <v/>
      </c>
    </row>
    <row r="117" spans="2:17" x14ac:dyDescent="0.3">
      <c r="B117" s="49" t="str">
        <f>IFERROR(INDEX('Position Database'!B:B,MATCH($A117,'Position Database'!$A:$A,0)),"")</f>
        <v/>
      </c>
      <c r="C117" s="50" t="str">
        <f>IFERROR(INDEX('Position Database'!C:C,MATCH($A117,'Position Database'!$A:$A,0)),"")</f>
        <v/>
      </c>
      <c r="D117" s="41" t="str">
        <f>IFERROR(INDEX('Position Database'!D:D,MATCH($A117,'Position Database'!$A:$A,0)),"")</f>
        <v/>
      </c>
      <c r="E117" s="54"/>
      <c r="L117" s="52" t="str">
        <f t="shared" si="9"/>
        <v/>
      </c>
      <c r="M117" s="41" t="str">
        <f t="shared" ca="1" si="10"/>
        <v/>
      </c>
      <c r="N117" s="52" t="str">
        <f t="shared" si="11"/>
        <v/>
      </c>
      <c r="O117" s="55"/>
      <c r="Q117" t="str">
        <f ca="1">IF(AND($A117&lt;&gt;"",ISNUMBER(M117)),COUNTIF($M$4:$M$200,"&gt;"&amp;M117)+COUNTIF($M$4:M117,M117),"")</f>
        <v/>
      </c>
    </row>
    <row r="118" spans="2:17" x14ac:dyDescent="0.3">
      <c r="B118" s="49" t="str">
        <f>IFERROR(INDEX('Position Database'!B:B,MATCH($A118,'Position Database'!$A:$A,0)),"")</f>
        <v/>
      </c>
      <c r="C118" s="50" t="str">
        <f>IFERROR(INDEX('Position Database'!C:C,MATCH($A118,'Position Database'!$A:$A,0)),"")</f>
        <v/>
      </c>
      <c r="D118" s="41" t="str">
        <f>IFERROR(INDEX('Position Database'!D:D,MATCH($A118,'Position Database'!$A:$A,0)),"")</f>
        <v/>
      </c>
      <c r="E118" s="54"/>
      <c r="L118" s="52" t="str">
        <f t="shared" si="9"/>
        <v/>
      </c>
      <c r="M118" s="41" t="str">
        <f t="shared" ca="1" si="10"/>
        <v/>
      </c>
      <c r="N118" s="52" t="str">
        <f t="shared" si="11"/>
        <v/>
      </c>
      <c r="O118" s="55"/>
      <c r="Q118" t="str">
        <f ca="1">IF(AND($A118&lt;&gt;"",ISNUMBER(M118)),COUNTIF($M$4:$M$200,"&gt;"&amp;M118)+COUNTIF($M$4:M118,M118),"")</f>
        <v/>
      </c>
    </row>
    <row r="119" spans="2:17" x14ac:dyDescent="0.3">
      <c r="B119" s="49" t="str">
        <f>IFERROR(INDEX('Position Database'!B:B,MATCH($A119,'Position Database'!$A:$A,0)),"")</f>
        <v/>
      </c>
      <c r="C119" s="50" t="str">
        <f>IFERROR(INDEX('Position Database'!C:C,MATCH($A119,'Position Database'!$A:$A,0)),"")</f>
        <v/>
      </c>
      <c r="D119" s="41" t="str">
        <f>IFERROR(INDEX('Position Database'!D:D,MATCH($A119,'Position Database'!$A:$A,0)),"")</f>
        <v/>
      </c>
      <c r="E119" s="54"/>
      <c r="L119" s="52" t="str">
        <f t="shared" si="9"/>
        <v/>
      </c>
      <c r="M119" s="41" t="str">
        <f t="shared" ca="1" si="10"/>
        <v/>
      </c>
      <c r="N119" s="52" t="str">
        <f t="shared" si="11"/>
        <v/>
      </c>
      <c r="O119" s="55"/>
      <c r="Q119" t="str">
        <f ca="1">IF(AND($A119&lt;&gt;"",ISNUMBER(M119)),COUNTIF($M$4:$M$200,"&gt;"&amp;M119)+COUNTIF($M$4:M119,M119),"")</f>
        <v/>
      </c>
    </row>
    <row r="120" spans="2:17" x14ac:dyDescent="0.3">
      <c r="B120" s="49" t="str">
        <f>IFERROR(INDEX('Position Database'!B:B,MATCH($A120,'Position Database'!$A:$A,0)),"")</f>
        <v/>
      </c>
      <c r="C120" s="50" t="str">
        <f>IFERROR(INDEX('Position Database'!C:C,MATCH($A120,'Position Database'!$A:$A,0)),"")</f>
        <v/>
      </c>
      <c r="D120" s="41" t="str">
        <f>IFERROR(INDEX('Position Database'!D:D,MATCH($A120,'Position Database'!$A:$A,0)),"")</f>
        <v/>
      </c>
      <c r="E120" s="54"/>
      <c r="L120" s="52" t="str">
        <f t="shared" si="9"/>
        <v/>
      </c>
      <c r="M120" s="41" t="str">
        <f t="shared" ca="1" si="10"/>
        <v/>
      </c>
      <c r="N120" s="52" t="str">
        <f t="shared" si="11"/>
        <v/>
      </c>
      <c r="O120" s="55"/>
      <c r="Q120" t="str">
        <f ca="1">IF(AND($A120&lt;&gt;"",ISNUMBER(M120)),COUNTIF($M$4:$M$200,"&gt;"&amp;M120)+COUNTIF($M$4:M120,M120),"")</f>
        <v/>
      </c>
    </row>
    <row r="121" spans="2:17" x14ac:dyDescent="0.3">
      <c r="B121" s="49" t="str">
        <f>IFERROR(INDEX('Position Database'!B:B,MATCH($A121,'Position Database'!$A:$A,0)),"")</f>
        <v/>
      </c>
      <c r="C121" s="50" t="str">
        <f>IFERROR(INDEX('Position Database'!C:C,MATCH($A121,'Position Database'!$A:$A,0)),"")</f>
        <v/>
      </c>
      <c r="D121" s="41" t="str">
        <f>IFERROR(INDEX('Position Database'!D:D,MATCH($A121,'Position Database'!$A:$A,0)),"")</f>
        <v/>
      </c>
      <c r="E121" s="54"/>
      <c r="L121" s="52" t="str">
        <f t="shared" si="9"/>
        <v/>
      </c>
      <c r="M121" s="41" t="str">
        <f t="shared" ca="1" si="10"/>
        <v/>
      </c>
      <c r="N121" s="52" t="str">
        <f t="shared" si="11"/>
        <v/>
      </c>
      <c r="O121" s="55"/>
      <c r="Q121" t="str">
        <f ca="1">IF(AND($A121&lt;&gt;"",ISNUMBER(M121)),COUNTIF($M$4:$M$200,"&gt;"&amp;M121)+COUNTIF($M$4:M121,M121),"")</f>
        <v/>
      </c>
    </row>
    <row r="122" spans="2:17" x14ac:dyDescent="0.3">
      <c r="B122" s="49" t="str">
        <f>IFERROR(INDEX('Position Database'!B:B,MATCH($A122,'Position Database'!$A:$A,0)),"")</f>
        <v/>
      </c>
      <c r="C122" s="50" t="str">
        <f>IFERROR(INDEX('Position Database'!C:C,MATCH($A122,'Position Database'!$A:$A,0)),"")</f>
        <v/>
      </c>
      <c r="D122" s="41" t="str">
        <f>IFERROR(INDEX('Position Database'!D:D,MATCH($A122,'Position Database'!$A:$A,0)),"")</f>
        <v/>
      </c>
      <c r="E122" s="54"/>
      <c r="L122" s="52" t="str">
        <f t="shared" si="9"/>
        <v/>
      </c>
      <c r="M122" s="41" t="str">
        <f t="shared" ca="1" si="10"/>
        <v/>
      </c>
      <c r="N122" s="52" t="str">
        <f t="shared" si="11"/>
        <v/>
      </c>
      <c r="O122" s="55"/>
      <c r="Q122" t="str">
        <f ca="1">IF(AND($A122&lt;&gt;"",ISNUMBER(M122)),COUNTIF($M$4:$M$200,"&gt;"&amp;M122)+COUNTIF($M$4:M122,M122),"")</f>
        <v/>
      </c>
    </row>
    <row r="123" spans="2:17" x14ac:dyDescent="0.3">
      <c r="B123" s="49" t="str">
        <f>IFERROR(INDEX('Position Database'!B:B,MATCH($A123,'Position Database'!$A:$A,0)),"")</f>
        <v/>
      </c>
      <c r="C123" s="50" t="str">
        <f>IFERROR(INDEX('Position Database'!C:C,MATCH($A123,'Position Database'!$A:$A,0)),"")</f>
        <v/>
      </c>
      <c r="D123" s="41" t="str">
        <f>IFERROR(INDEX('Position Database'!D:D,MATCH($A123,'Position Database'!$A:$A,0)),"")</f>
        <v/>
      </c>
      <c r="E123" s="54"/>
      <c r="L123" s="52" t="str">
        <f t="shared" si="9"/>
        <v/>
      </c>
      <c r="M123" s="41" t="str">
        <f t="shared" ca="1" si="10"/>
        <v/>
      </c>
      <c r="N123" s="52" t="str">
        <f t="shared" si="11"/>
        <v/>
      </c>
      <c r="O123" s="55"/>
      <c r="Q123" t="str">
        <f ca="1">IF(AND($A123&lt;&gt;"",ISNUMBER(M123)),COUNTIF($M$4:$M$200,"&gt;"&amp;M123)+COUNTIF($M$4:M123,M123),"")</f>
        <v/>
      </c>
    </row>
    <row r="124" spans="2:17" x14ac:dyDescent="0.3">
      <c r="B124" s="49" t="str">
        <f>IFERROR(INDEX('Position Database'!B:B,MATCH($A124,'Position Database'!$A:$A,0)),"")</f>
        <v/>
      </c>
      <c r="C124" s="50" t="str">
        <f>IFERROR(INDEX('Position Database'!C:C,MATCH($A124,'Position Database'!$A:$A,0)),"")</f>
        <v/>
      </c>
      <c r="D124" s="41" t="str">
        <f>IFERROR(INDEX('Position Database'!D:D,MATCH($A124,'Position Database'!$A:$A,0)),"")</f>
        <v/>
      </c>
      <c r="E124" s="54"/>
      <c r="L124" s="52" t="str">
        <f t="shared" si="9"/>
        <v/>
      </c>
      <c r="M124" s="41" t="str">
        <f t="shared" ca="1" si="10"/>
        <v/>
      </c>
      <c r="N124" s="52" t="str">
        <f t="shared" si="11"/>
        <v/>
      </c>
      <c r="O124" s="55"/>
      <c r="Q124" t="str">
        <f ca="1">IF(AND($A124&lt;&gt;"",ISNUMBER(M124)),COUNTIF($M$4:$M$200,"&gt;"&amp;M124)+COUNTIF($M$4:M124,M124),"")</f>
        <v/>
      </c>
    </row>
    <row r="125" spans="2:17" x14ac:dyDescent="0.3">
      <c r="B125" s="49" t="str">
        <f>IFERROR(INDEX('Position Database'!B:B,MATCH($A125,'Position Database'!$A:$A,0)),"")</f>
        <v/>
      </c>
      <c r="C125" s="50" t="str">
        <f>IFERROR(INDEX('Position Database'!C:C,MATCH($A125,'Position Database'!$A:$A,0)),"")</f>
        <v/>
      </c>
      <c r="D125" s="41" t="str">
        <f>IFERROR(INDEX('Position Database'!D:D,MATCH($A125,'Position Database'!$A:$A,0)),"")</f>
        <v/>
      </c>
      <c r="E125" s="54"/>
      <c r="L125" s="52" t="str">
        <f t="shared" si="9"/>
        <v/>
      </c>
      <c r="M125" s="41" t="str">
        <f t="shared" ca="1" si="10"/>
        <v/>
      </c>
      <c r="N125" s="52" t="str">
        <f t="shared" si="11"/>
        <v/>
      </c>
      <c r="O125" s="55"/>
      <c r="Q125" t="str">
        <f ca="1">IF(AND($A125&lt;&gt;"",ISNUMBER(M125)),COUNTIF($M$4:$M$200,"&gt;"&amp;M125)+COUNTIF($M$4:M125,M125),"")</f>
        <v/>
      </c>
    </row>
    <row r="126" spans="2:17" x14ac:dyDescent="0.3">
      <c r="B126" s="49" t="str">
        <f>IFERROR(INDEX('Position Database'!B:B,MATCH($A126,'Position Database'!$A:$A,0)),"")</f>
        <v/>
      </c>
      <c r="C126" s="50" t="str">
        <f>IFERROR(INDEX('Position Database'!C:C,MATCH($A126,'Position Database'!$A:$A,0)),"")</f>
        <v/>
      </c>
      <c r="D126" s="41" t="str">
        <f>IFERROR(INDEX('Position Database'!D:D,MATCH($A126,'Position Database'!$A:$A,0)),"")</f>
        <v/>
      </c>
      <c r="E126" s="54"/>
      <c r="L126" s="52" t="str">
        <f t="shared" si="9"/>
        <v/>
      </c>
      <c r="M126" s="41" t="str">
        <f t="shared" ca="1" si="10"/>
        <v/>
      </c>
      <c r="N126" s="52" t="str">
        <f t="shared" si="11"/>
        <v/>
      </c>
      <c r="O126" s="55"/>
      <c r="Q126" t="str">
        <f ca="1">IF(AND($A126&lt;&gt;"",ISNUMBER(M126)),COUNTIF($M$4:$M$200,"&gt;"&amp;M126)+COUNTIF($M$4:M126,M126),"")</f>
        <v/>
      </c>
    </row>
    <row r="127" spans="2:17" x14ac:dyDescent="0.3">
      <c r="B127" s="49" t="str">
        <f>IFERROR(INDEX('Position Database'!B:B,MATCH($A127,'Position Database'!$A:$A,0)),"")</f>
        <v/>
      </c>
      <c r="C127" s="50" t="str">
        <f>IFERROR(INDEX('Position Database'!C:C,MATCH($A127,'Position Database'!$A:$A,0)),"")</f>
        <v/>
      </c>
      <c r="D127" s="41" t="str">
        <f>IFERROR(INDEX('Position Database'!D:D,MATCH($A127,'Position Database'!$A:$A,0)),"")</f>
        <v/>
      </c>
      <c r="E127" s="54"/>
      <c r="L127" s="52" t="str">
        <f t="shared" si="9"/>
        <v/>
      </c>
      <c r="M127" s="41" t="str">
        <f t="shared" ca="1" si="10"/>
        <v/>
      </c>
      <c r="N127" s="52" t="str">
        <f t="shared" si="11"/>
        <v/>
      </c>
      <c r="O127" s="55"/>
      <c r="Q127" t="str">
        <f ca="1">IF(AND($A127&lt;&gt;"",ISNUMBER(M127)),COUNTIF($M$4:$M$200,"&gt;"&amp;M127)+COUNTIF($M$4:M127,M127),"")</f>
        <v/>
      </c>
    </row>
    <row r="128" spans="2:17" x14ac:dyDescent="0.3">
      <c r="B128" s="49" t="str">
        <f>IFERROR(INDEX('Position Database'!B:B,MATCH($A128,'Position Database'!$A:$A,0)),"")</f>
        <v/>
      </c>
      <c r="C128" s="50" t="str">
        <f>IFERROR(INDEX('Position Database'!C:C,MATCH($A128,'Position Database'!$A:$A,0)),"")</f>
        <v/>
      </c>
      <c r="D128" s="41" t="str">
        <f>IFERROR(INDEX('Position Database'!D:D,MATCH($A128,'Position Database'!$A:$A,0)),"")</f>
        <v/>
      </c>
      <c r="E128" s="54"/>
      <c r="L128" s="52" t="str">
        <f t="shared" si="9"/>
        <v/>
      </c>
      <c r="M128" s="41" t="str">
        <f t="shared" ca="1" si="10"/>
        <v/>
      </c>
      <c r="N128" s="52" t="str">
        <f t="shared" si="11"/>
        <v/>
      </c>
      <c r="O128" s="55"/>
      <c r="Q128" t="str">
        <f ca="1">IF(AND($A128&lt;&gt;"",ISNUMBER(M128)),COUNTIF($M$4:$M$200,"&gt;"&amp;M128)+COUNTIF($M$4:M128,M128),"")</f>
        <v/>
      </c>
    </row>
    <row r="129" spans="2:17" x14ac:dyDescent="0.3">
      <c r="B129" s="49" t="str">
        <f>IFERROR(INDEX('Position Database'!B:B,MATCH($A129,'Position Database'!$A:$A,0)),"")</f>
        <v/>
      </c>
      <c r="C129" s="50" t="str">
        <f>IFERROR(INDEX('Position Database'!C:C,MATCH($A129,'Position Database'!$A:$A,0)),"")</f>
        <v/>
      </c>
      <c r="D129" s="41" t="str">
        <f>IFERROR(INDEX('Position Database'!D:D,MATCH($A129,'Position Database'!$A:$A,0)),"")</f>
        <v/>
      </c>
      <c r="E129" s="54"/>
      <c r="L129" s="52" t="str">
        <f t="shared" si="9"/>
        <v/>
      </c>
      <c r="M129" s="41" t="str">
        <f t="shared" ca="1" si="10"/>
        <v/>
      </c>
      <c r="N129" s="52" t="str">
        <f t="shared" si="11"/>
        <v/>
      </c>
      <c r="O129" s="55"/>
      <c r="Q129" t="str">
        <f ca="1">IF(AND($A129&lt;&gt;"",ISNUMBER(M129)),COUNTIF($M$4:$M$200,"&gt;"&amp;M129)+COUNTIF($M$4:M129,M129),"")</f>
        <v/>
      </c>
    </row>
    <row r="130" spans="2:17" x14ac:dyDescent="0.3">
      <c r="B130" s="49" t="str">
        <f>IFERROR(INDEX('Position Database'!B:B,MATCH($A130,'Position Database'!$A:$A,0)),"")</f>
        <v/>
      </c>
      <c r="C130" s="50" t="str">
        <f>IFERROR(INDEX('Position Database'!C:C,MATCH($A130,'Position Database'!$A:$A,0)),"")</f>
        <v/>
      </c>
      <c r="D130" s="41" t="str">
        <f>IFERROR(INDEX('Position Database'!D:D,MATCH($A130,'Position Database'!$A:$A,0)),"")</f>
        <v/>
      </c>
      <c r="E130" s="54"/>
      <c r="L130" s="52" t="str">
        <f t="shared" si="9"/>
        <v/>
      </c>
      <c r="M130" s="41" t="str">
        <f t="shared" ca="1" si="10"/>
        <v/>
      </c>
      <c r="N130" s="52" t="str">
        <f t="shared" si="11"/>
        <v/>
      </c>
      <c r="O130" s="55"/>
      <c r="Q130" t="str">
        <f ca="1">IF(AND($A130&lt;&gt;"",ISNUMBER(M130)),COUNTIF($M$4:$M$200,"&gt;"&amp;M130)+COUNTIF($M$4:M130,M130),"")</f>
        <v/>
      </c>
    </row>
    <row r="131" spans="2:17" x14ac:dyDescent="0.3">
      <c r="B131" s="49" t="str">
        <f>IFERROR(INDEX('Position Database'!B:B,MATCH($A131,'Position Database'!$A:$A,0)),"")</f>
        <v/>
      </c>
      <c r="C131" s="50" t="str">
        <f>IFERROR(INDEX('Position Database'!C:C,MATCH($A131,'Position Database'!$A:$A,0)),"")</f>
        <v/>
      </c>
      <c r="D131" s="41" t="str">
        <f>IFERROR(INDEX('Position Database'!D:D,MATCH($A131,'Position Database'!$A:$A,0)),"")</f>
        <v/>
      </c>
      <c r="E131" s="54"/>
      <c r="L131" s="52" t="str">
        <f t="shared" si="9"/>
        <v/>
      </c>
      <c r="M131" s="41" t="str">
        <f t="shared" ca="1" si="10"/>
        <v/>
      </c>
      <c r="N131" s="52" t="str">
        <f t="shared" si="11"/>
        <v/>
      </c>
      <c r="O131" s="55"/>
      <c r="Q131" t="str">
        <f ca="1">IF(AND($A131&lt;&gt;"",ISNUMBER(M131)),COUNTIF($M$4:$M$200,"&gt;"&amp;M131)+COUNTIF($M$4:M131,M131),"")</f>
        <v/>
      </c>
    </row>
    <row r="132" spans="2:17" x14ac:dyDescent="0.3">
      <c r="B132" s="49" t="str">
        <f>IFERROR(INDEX('Position Database'!B:B,MATCH($A132,'Position Database'!$A:$A,0)),"")</f>
        <v/>
      </c>
      <c r="C132" s="50" t="str">
        <f>IFERROR(INDEX('Position Database'!C:C,MATCH($A132,'Position Database'!$A:$A,0)),"")</f>
        <v/>
      </c>
      <c r="D132" s="41" t="str">
        <f>IFERROR(INDEX('Position Database'!D:D,MATCH($A132,'Position Database'!$A:$A,0)),"")</f>
        <v/>
      </c>
      <c r="E132" s="54"/>
      <c r="L132" s="52" t="str">
        <f t="shared" ref="L132:L163" si="12">IF(COUNT(E132,I132,J132,K132)=0,"",MAX(E132,I132,J132,K132))</f>
        <v/>
      </c>
      <c r="M132" s="41" t="str">
        <f t="shared" ref="M132:M163" ca="1" si="13">IF(OR($A132="",NOT(ISNUMBER(L132))),"",IF(OR(O132="Positive Reply",O132="Accepted",O132="Rejected"),"",TODAY()-L132))</f>
        <v/>
      </c>
      <c r="N132" s="52" t="str">
        <f t="shared" ref="N132:N163" si="14">IF(OR($A132="",NOT(ISNUMBER(L132))),"",IF(OR(O132="Positive Reply",O132="Accepted",O132="Rejected"),"",L132+14))</f>
        <v/>
      </c>
      <c r="O132" s="55"/>
      <c r="Q132" t="str">
        <f ca="1">IF(AND($A132&lt;&gt;"",ISNUMBER(M132)),COUNTIF($M$4:$M$200,"&gt;"&amp;M132)+COUNTIF($M$4:M132,M132),"")</f>
        <v/>
      </c>
    </row>
    <row r="133" spans="2:17" x14ac:dyDescent="0.3">
      <c r="B133" s="49" t="str">
        <f>IFERROR(INDEX('Position Database'!B:B,MATCH($A133,'Position Database'!$A:$A,0)),"")</f>
        <v/>
      </c>
      <c r="C133" s="50" t="str">
        <f>IFERROR(INDEX('Position Database'!C:C,MATCH($A133,'Position Database'!$A:$A,0)),"")</f>
        <v/>
      </c>
      <c r="D133" s="41" t="str">
        <f>IFERROR(INDEX('Position Database'!D:D,MATCH($A133,'Position Database'!$A:$A,0)),"")</f>
        <v/>
      </c>
      <c r="E133" s="54"/>
      <c r="L133" s="52" t="str">
        <f t="shared" si="12"/>
        <v/>
      </c>
      <c r="M133" s="41" t="str">
        <f t="shared" ca="1" si="13"/>
        <v/>
      </c>
      <c r="N133" s="52" t="str">
        <f t="shared" si="14"/>
        <v/>
      </c>
      <c r="O133" s="55"/>
      <c r="Q133" t="str">
        <f ca="1">IF(AND($A133&lt;&gt;"",ISNUMBER(M133)),COUNTIF($M$4:$M$200,"&gt;"&amp;M133)+COUNTIF($M$4:M133,M133),"")</f>
        <v/>
      </c>
    </row>
    <row r="134" spans="2:17" x14ac:dyDescent="0.3">
      <c r="B134" s="49" t="str">
        <f>IFERROR(INDEX('Position Database'!B:B,MATCH($A134,'Position Database'!$A:$A,0)),"")</f>
        <v/>
      </c>
      <c r="C134" s="50" t="str">
        <f>IFERROR(INDEX('Position Database'!C:C,MATCH($A134,'Position Database'!$A:$A,0)),"")</f>
        <v/>
      </c>
      <c r="D134" s="41" t="str">
        <f>IFERROR(INDEX('Position Database'!D:D,MATCH($A134,'Position Database'!$A:$A,0)),"")</f>
        <v/>
      </c>
      <c r="E134" s="54"/>
      <c r="L134" s="52" t="str">
        <f t="shared" si="12"/>
        <v/>
      </c>
      <c r="M134" s="41" t="str">
        <f t="shared" ca="1" si="13"/>
        <v/>
      </c>
      <c r="N134" s="52" t="str">
        <f t="shared" si="14"/>
        <v/>
      </c>
      <c r="O134" s="55"/>
      <c r="Q134" t="str">
        <f ca="1">IF(AND($A134&lt;&gt;"",ISNUMBER(M134)),COUNTIF($M$4:$M$200,"&gt;"&amp;M134)+COUNTIF($M$4:M134,M134),"")</f>
        <v/>
      </c>
    </row>
    <row r="135" spans="2:17" x14ac:dyDescent="0.3">
      <c r="B135" s="49" t="str">
        <f>IFERROR(INDEX('Position Database'!B:B,MATCH($A135,'Position Database'!$A:$A,0)),"")</f>
        <v/>
      </c>
      <c r="C135" s="50" t="str">
        <f>IFERROR(INDEX('Position Database'!C:C,MATCH($A135,'Position Database'!$A:$A,0)),"")</f>
        <v/>
      </c>
      <c r="D135" s="41" t="str">
        <f>IFERROR(INDEX('Position Database'!D:D,MATCH($A135,'Position Database'!$A:$A,0)),"")</f>
        <v/>
      </c>
      <c r="E135" s="54"/>
      <c r="L135" s="52" t="str">
        <f t="shared" si="12"/>
        <v/>
      </c>
      <c r="M135" s="41" t="str">
        <f t="shared" ca="1" si="13"/>
        <v/>
      </c>
      <c r="N135" s="52" t="str">
        <f t="shared" si="14"/>
        <v/>
      </c>
      <c r="O135" s="55"/>
      <c r="Q135" t="str">
        <f ca="1">IF(AND($A135&lt;&gt;"",ISNUMBER(M135)),COUNTIF($M$4:$M$200,"&gt;"&amp;M135)+COUNTIF($M$4:M135,M135),"")</f>
        <v/>
      </c>
    </row>
    <row r="136" spans="2:17" x14ac:dyDescent="0.3">
      <c r="B136" s="49" t="str">
        <f>IFERROR(INDEX('Position Database'!B:B,MATCH($A136,'Position Database'!$A:$A,0)),"")</f>
        <v/>
      </c>
      <c r="C136" s="50" t="str">
        <f>IFERROR(INDEX('Position Database'!C:C,MATCH($A136,'Position Database'!$A:$A,0)),"")</f>
        <v/>
      </c>
      <c r="D136" s="41" t="str">
        <f>IFERROR(INDEX('Position Database'!D:D,MATCH($A136,'Position Database'!$A:$A,0)),"")</f>
        <v/>
      </c>
      <c r="E136" s="54"/>
      <c r="L136" s="52" t="str">
        <f t="shared" si="12"/>
        <v/>
      </c>
      <c r="M136" s="41" t="str">
        <f t="shared" ca="1" si="13"/>
        <v/>
      </c>
      <c r="N136" s="52" t="str">
        <f t="shared" si="14"/>
        <v/>
      </c>
      <c r="O136" s="55"/>
      <c r="Q136" t="str">
        <f ca="1">IF(AND($A136&lt;&gt;"",ISNUMBER(M136)),COUNTIF($M$4:$M$200,"&gt;"&amp;M136)+COUNTIF($M$4:M136,M136),"")</f>
        <v/>
      </c>
    </row>
    <row r="137" spans="2:17" x14ac:dyDescent="0.3">
      <c r="B137" s="49" t="str">
        <f>IFERROR(INDEX('Position Database'!B:B,MATCH($A137,'Position Database'!$A:$A,0)),"")</f>
        <v/>
      </c>
      <c r="C137" s="50" t="str">
        <f>IFERROR(INDEX('Position Database'!C:C,MATCH($A137,'Position Database'!$A:$A,0)),"")</f>
        <v/>
      </c>
      <c r="D137" s="41" t="str">
        <f>IFERROR(INDEX('Position Database'!D:D,MATCH($A137,'Position Database'!$A:$A,0)),"")</f>
        <v/>
      </c>
      <c r="E137" s="54"/>
      <c r="L137" s="52" t="str">
        <f t="shared" si="12"/>
        <v/>
      </c>
      <c r="M137" s="41" t="str">
        <f t="shared" ca="1" si="13"/>
        <v/>
      </c>
      <c r="N137" s="52" t="str">
        <f t="shared" si="14"/>
        <v/>
      </c>
      <c r="O137" s="55"/>
      <c r="Q137" t="str">
        <f ca="1">IF(AND($A137&lt;&gt;"",ISNUMBER(M137)),COUNTIF($M$4:$M$200,"&gt;"&amp;M137)+COUNTIF($M$4:M137,M137),"")</f>
        <v/>
      </c>
    </row>
    <row r="138" spans="2:17" x14ac:dyDescent="0.3">
      <c r="B138" s="49" t="str">
        <f>IFERROR(INDEX('Position Database'!B:B,MATCH($A138,'Position Database'!$A:$A,0)),"")</f>
        <v/>
      </c>
      <c r="C138" s="50" t="str">
        <f>IFERROR(INDEX('Position Database'!C:C,MATCH($A138,'Position Database'!$A:$A,0)),"")</f>
        <v/>
      </c>
      <c r="D138" s="41" t="str">
        <f>IFERROR(INDEX('Position Database'!D:D,MATCH($A138,'Position Database'!$A:$A,0)),"")</f>
        <v/>
      </c>
      <c r="E138" s="54"/>
      <c r="L138" s="52" t="str">
        <f t="shared" si="12"/>
        <v/>
      </c>
      <c r="M138" s="41" t="str">
        <f t="shared" ca="1" si="13"/>
        <v/>
      </c>
      <c r="N138" s="52" t="str">
        <f t="shared" si="14"/>
        <v/>
      </c>
      <c r="O138" s="55"/>
      <c r="Q138" t="str">
        <f ca="1">IF(AND($A138&lt;&gt;"",ISNUMBER(M138)),COUNTIF($M$4:$M$200,"&gt;"&amp;M138)+COUNTIF($M$4:M138,M138),"")</f>
        <v/>
      </c>
    </row>
    <row r="139" spans="2:17" x14ac:dyDescent="0.3">
      <c r="B139" s="49" t="str">
        <f>IFERROR(INDEX('Position Database'!B:B,MATCH($A139,'Position Database'!$A:$A,0)),"")</f>
        <v/>
      </c>
      <c r="C139" s="50" t="str">
        <f>IFERROR(INDEX('Position Database'!C:C,MATCH($A139,'Position Database'!$A:$A,0)),"")</f>
        <v/>
      </c>
      <c r="D139" s="41" t="str">
        <f>IFERROR(INDEX('Position Database'!D:D,MATCH($A139,'Position Database'!$A:$A,0)),"")</f>
        <v/>
      </c>
      <c r="E139" s="54"/>
      <c r="L139" s="52" t="str">
        <f t="shared" si="12"/>
        <v/>
      </c>
      <c r="M139" s="41" t="str">
        <f t="shared" ca="1" si="13"/>
        <v/>
      </c>
      <c r="N139" s="52" t="str">
        <f t="shared" si="14"/>
        <v/>
      </c>
      <c r="O139" s="55"/>
      <c r="Q139" t="str">
        <f ca="1">IF(AND($A139&lt;&gt;"",ISNUMBER(M139)),COUNTIF($M$4:$M$200,"&gt;"&amp;M139)+COUNTIF($M$4:M139,M139),"")</f>
        <v/>
      </c>
    </row>
    <row r="140" spans="2:17" x14ac:dyDescent="0.3">
      <c r="B140" s="49" t="str">
        <f>IFERROR(INDEX('Position Database'!B:B,MATCH($A140,'Position Database'!$A:$A,0)),"")</f>
        <v/>
      </c>
      <c r="C140" s="50" t="str">
        <f>IFERROR(INDEX('Position Database'!C:C,MATCH($A140,'Position Database'!$A:$A,0)),"")</f>
        <v/>
      </c>
      <c r="D140" s="41" t="str">
        <f>IFERROR(INDEX('Position Database'!D:D,MATCH($A140,'Position Database'!$A:$A,0)),"")</f>
        <v/>
      </c>
      <c r="E140" s="54"/>
      <c r="L140" s="52" t="str">
        <f t="shared" si="12"/>
        <v/>
      </c>
      <c r="M140" s="41" t="str">
        <f t="shared" ca="1" si="13"/>
        <v/>
      </c>
      <c r="N140" s="52" t="str">
        <f t="shared" si="14"/>
        <v/>
      </c>
      <c r="O140" s="55"/>
      <c r="Q140" t="str">
        <f ca="1">IF(AND($A140&lt;&gt;"",ISNUMBER(M140)),COUNTIF($M$4:$M$200,"&gt;"&amp;M140)+COUNTIF($M$4:M140,M140),"")</f>
        <v/>
      </c>
    </row>
    <row r="141" spans="2:17" x14ac:dyDescent="0.3">
      <c r="B141" s="49" t="str">
        <f>IFERROR(INDEX('Position Database'!B:B,MATCH($A141,'Position Database'!$A:$A,0)),"")</f>
        <v/>
      </c>
      <c r="C141" s="50" t="str">
        <f>IFERROR(INDEX('Position Database'!C:C,MATCH($A141,'Position Database'!$A:$A,0)),"")</f>
        <v/>
      </c>
      <c r="D141" s="41" t="str">
        <f>IFERROR(INDEX('Position Database'!D:D,MATCH($A141,'Position Database'!$A:$A,0)),"")</f>
        <v/>
      </c>
      <c r="E141" s="54"/>
      <c r="L141" s="52" t="str">
        <f t="shared" si="12"/>
        <v/>
      </c>
      <c r="M141" s="41" t="str">
        <f t="shared" ca="1" si="13"/>
        <v/>
      </c>
      <c r="N141" s="52" t="str">
        <f t="shared" si="14"/>
        <v/>
      </c>
      <c r="O141" s="55"/>
      <c r="Q141" t="str">
        <f ca="1">IF(AND($A141&lt;&gt;"",ISNUMBER(M141)),COUNTIF($M$4:$M$200,"&gt;"&amp;M141)+COUNTIF($M$4:M141,M141),"")</f>
        <v/>
      </c>
    </row>
    <row r="142" spans="2:17" x14ac:dyDescent="0.3">
      <c r="B142" s="49" t="str">
        <f>IFERROR(INDEX('Position Database'!B:B,MATCH($A142,'Position Database'!$A:$A,0)),"")</f>
        <v/>
      </c>
      <c r="C142" s="50" t="str">
        <f>IFERROR(INDEX('Position Database'!C:C,MATCH($A142,'Position Database'!$A:$A,0)),"")</f>
        <v/>
      </c>
      <c r="D142" s="41" t="str">
        <f>IFERROR(INDEX('Position Database'!D:D,MATCH($A142,'Position Database'!$A:$A,0)),"")</f>
        <v/>
      </c>
      <c r="E142" s="54"/>
      <c r="L142" s="52" t="str">
        <f t="shared" si="12"/>
        <v/>
      </c>
      <c r="M142" s="41" t="str">
        <f t="shared" ca="1" si="13"/>
        <v/>
      </c>
      <c r="N142" s="52" t="str">
        <f t="shared" si="14"/>
        <v/>
      </c>
      <c r="O142" s="55"/>
      <c r="Q142" t="str">
        <f ca="1">IF(AND($A142&lt;&gt;"",ISNUMBER(M142)),COUNTIF($M$4:$M$200,"&gt;"&amp;M142)+COUNTIF($M$4:M142,M142),"")</f>
        <v/>
      </c>
    </row>
    <row r="143" spans="2:17" x14ac:dyDescent="0.3">
      <c r="B143" s="49" t="str">
        <f>IFERROR(INDEX('Position Database'!B:B,MATCH($A143,'Position Database'!$A:$A,0)),"")</f>
        <v/>
      </c>
      <c r="C143" s="50" t="str">
        <f>IFERROR(INDEX('Position Database'!C:C,MATCH($A143,'Position Database'!$A:$A,0)),"")</f>
        <v/>
      </c>
      <c r="D143" s="41" t="str">
        <f>IFERROR(INDEX('Position Database'!D:D,MATCH($A143,'Position Database'!$A:$A,0)),"")</f>
        <v/>
      </c>
      <c r="E143" s="54"/>
      <c r="L143" s="52" t="str">
        <f t="shared" si="12"/>
        <v/>
      </c>
      <c r="M143" s="41" t="str">
        <f t="shared" ca="1" si="13"/>
        <v/>
      </c>
      <c r="N143" s="52" t="str">
        <f t="shared" si="14"/>
        <v/>
      </c>
      <c r="O143" s="55"/>
      <c r="Q143" t="str">
        <f ca="1">IF(AND($A143&lt;&gt;"",ISNUMBER(M143)),COUNTIF($M$4:$M$200,"&gt;"&amp;M143)+COUNTIF($M$4:M143,M143),"")</f>
        <v/>
      </c>
    </row>
    <row r="144" spans="2:17" x14ac:dyDescent="0.3">
      <c r="B144" s="49" t="str">
        <f>IFERROR(INDEX('Position Database'!B:B,MATCH($A144,'Position Database'!$A:$A,0)),"")</f>
        <v/>
      </c>
      <c r="C144" s="50" t="str">
        <f>IFERROR(INDEX('Position Database'!C:C,MATCH($A144,'Position Database'!$A:$A,0)),"")</f>
        <v/>
      </c>
      <c r="D144" s="41" t="str">
        <f>IFERROR(INDEX('Position Database'!D:D,MATCH($A144,'Position Database'!$A:$A,0)),"")</f>
        <v/>
      </c>
      <c r="E144" s="54"/>
      <c r="L144" s="52" t="str">
        <f t="shared" si="12"/>
        <v/>
      </c>
      <c r="M144" s="41" t="str">
        <f t="shared" ca="1" si="13"/>
        <v/>
      </c>
      <c r="N144" s="52" t="str">
        <f t="shared" si="14"/>
        <v/>
      </c>
      <c r="O144" s="55"/>
      <c r="Q144" t="str">
        <f ca="1">IF(AND($A144&lt;&gt;"",ISNUMBER(M144)),COUNTIF($M$4:$M$200,"&gt;"&amp;M144)+COUNTIF($M$4:M144,M144),"")</f>
        <v/>
      </c>
    </row>
    <row r="145" spans="2:17" x14ac:dyDescent="0.3">
      <c r="B145" s="49" t="str">
        <f>IFERROR(INDEX('Position Database'!B:B,MATCH($A145,'Position Database'!$A:$A,0)),"")</f>
        <v/>
      </c>
      <c r="C145" s="50" t="str">
        <f>IFERROR(INDEX('Position Database'!C:C,MATCH($A145,'Position Database'!$A:$A,0)),"")</f>
        <v/>
      </c>
      <c r="D145" s="41" t="str">
        <f>IFERROR(INDEX('Position Database'!D:D,MATCH($A145,'Position Database'!$A:$A,0)),"")</f>
        <v/>
      </c>
      <c r="E145" s="54"/>
      <c r="L145" s="52" t="str">
        <f t="shared" si="12"/>
        <v/>
      </c>
      <c r="M145" s="41" t="str">
        <f t="shared" ca="1" si="13"/>
        <v/>
      </c>
      <c r="N145" s="52" t="str">
        <f t="shared" si="14"/>
        <v/>
      </c>
      <c r="O145" s="55"/>
      <c r="Q145" t="str">
        <f ca="1">IF(AND($A145&lt;&gt;"",ISNUMBER(M145)),COUNTIF($M$4:$M$200,"&gt;"&amp;M145)+COUNTIF($M$4:M145,M145),"")</f>
        <v/>
      </c>
    </row>
    <row r="146" spans="2:17" x14ac:dyDescent="0.3">
      <c r="B146" s="49" t="str">
        <f>IFERROR(INDEX('Position Database'!B:B,MATCH($A146,'Position Database'!$A:$A,0)),"")</f>
        <v/>
      </c>
      <c r="C146" s="50" t="str">
        <f>IFERROR(INDEX('Position Database'!C:C,MATCH($A146,'Position Database'!$A:$A,0)),"")</f>
        <v/>
      </c>
      <c r="D146" s="41" t="str">
        <f>IFERROR(INDEX('Position Database'!D:D,MATCH($A146,'Position Database'!$A:$A,0)),"")</f>
        <v/>
      </c>
      <c r="E146" s="54"/>
      <c r="L146" s="52" t="str">
        <f t="shared" si="12"/>
        <v/>
      </c>
      <c r="M146" s="41" t="str">
        <f t="shared" ca="1" si="13"/>
        <v/>
      </c>
      <c r="N146" s="52" t="str">
        <f t="shared" si="14"/>
        <v/>
      </c>
      <c r="O146" s="55"/>
      <c r="Q146" t="str">
        <f ca="1">IF(AND($A146&lt;&gt;"",ISNUMBER(M146)),COUNTIF($M$4:$M$200,"&gt;"&amp;M146)+COUNTIF($M$4:M146,M146),"")</f>
        <v/>
      </c>
    </row>
    <row r="147" spans="2:17" x14ac:dyDescent="0.3">
      <c r="B147" s="49" t="str">
        <f>IFERROR(INDEX('Position Database'!B:B,MATCH($A147,'Position Database'!$A:$A,0)),"")</f>
        <v/>
      </c>
      <c r="C147" s="50" t="str">
        <f>IFERROR(INDEX('Position Database'!C:C,MATCH($A147,'Position Database'!$A:$A,0)),"")</f>
        <v/>
      </c>
      <c r="D147" s="41" t="str">
        <f>IFERROR(INDEX('Position Database'!D:D,MATCH($A147,'Position Database'!$A:$A,0)),"")</f>
        <v/>
      </c>
      <c r="E147" s="54"/>
      <c r="L147" s="52" t="str">
        <f t="shared" si="12"/>
        <v/>
      </c>
      <c r="M147" s="41" t="str">
        <f t="shared" ca="1" si="13"/>
        <v/>
      </c>
      <c r="N147" s="52" t="str">
        <f t="shared" si="14"/>
        <v/>
      </c>
      <c r="O147" s="55"/>
      <c r="Q147" t="str">
        <f ca="1">IF(AND($A147&lt;&gt;"",ISNUMBER(M147)),COUNTIF($M$4:$M$200,"&gt;"&amp;M147)+COUNTIF($M$4:M147,M147),"")</f>
        <v/>
      </c>
    </row>
    <row r="148" spans="2:17" x14ac:dyDescent="0.3">
      <c r="B148" s="49" t="str">
        <f>IFERROR(INDEX('Position Database'!B:B,MATCH($A148,'Position Database'!$A:$A,0)),"")</f>
        <v/>
      </c>
      <c r="C148" s="50" t="str">
        <f>IFERROR(INDEX('Position Database'!C:C,MATCH($A148,'Position Database'!$A:$A,0)),"")</f>
        <v/>
      </c>
      <c r="D148" s="41" t="str">
        <f>IFERROR(INDEX('Position Database'!D:D,MATCH($A148,'Position Database'!$A:$A,0)),"")</f>
        <v/>
      </c>
      <c r="E148" s="54"/>
      <c r="L148" s="52" t="str">
        <f t="shared" si="12"/>
        <v/>
      </c>
      <c r="M148" s="41" t="str">
        <f t="shared" ca="1" si="13"/>
        <v/>
      </c>
      <c r="N148" s="52" t="str">
        <f t="shared" si="14"/>
        <v/>
      </c>
      <c r="O148" s="55"/>
      <c r="Q148" t="str">
        <f ca="1">IF(AND($A148&lt;&gt;"",ISNUMBER(M148)),COUNTIF($M$4:$M$200,"&gt;"&amp;M148)+COUNTIF($M$4:M148,M148),"")</f>
        <v/>
      </c>
    </row>
    <row r="149" spans="2:17" x14ac:dyDescent="0.3">
      <c r="B149" s="49" t="str">
        <f>IFERROR(INDEX('Position Database'!B:B,MATCH($A149,'Position Database'!$A:$A,0)),"")</f>
        <v/>
      </c>
      <c r="C149" s="50" t="str">
        <f>IFERROR(INDEX('Position Database'!C:C,MATCH($A149,'Position Database'!$A:$A,0)),"")</f>
        <v/>
      </c>
      <c r="D149" s="41" t="str">
        <f>IFERROR(INDEX('Position Database'!D:D,MATCH($A149,'Position Database'!$A:$A,0)),"")</f>
        <v/>
      </c>
      <c r="E149" s="54"/>
      <c r="L149" s="52" t="str">
        <f t="shared" si="12"/>
        <v/>
      </c>
      <c r="M149" s="41" t="str">
        <f t="shared" ca="1" si="13"/>
        <v/>
      </c>
      <c r="N149" s="52" t="str">
        <f t="shared" si="14"/>
        <v/>
      </c>
      <c r="O149" s="55"/>
      <c r="Q149" t="str">
        <f ca="1">IF(AND($A149&lt;&gt;"",ISNUMBER(M149)),COUNTIF($M$4:$M$200,"&gt;"&amp;M149)+COUNTIF($M$4:M149,M149),"")</f>
        <v/>
      </c>
    </row>
    <row r="150" spans="2:17" x14ac:dyDescent="0.3">
      <c r="B150" s="49" t="str">
        <f>IFERROR(INDEX('Position Database'!B:B,MATCH($A150,'Position Database'!$A:$A,0)),"")</f>
        <v/>
      </c>
      <c r="C150" s="50" t="str">
        <f>IFERROR(INDEX('Position Database'!C:C,MATCH($A150,'Position Database'!$A:$A,0)),"")</f>
        <v/>
      </c>
      <c r="D150" s="41" t="str">
        <f>IFERROR(INDEX('Position Database'!D:D,MATCH($A150,'Position Database'!$A:$A,0)),"")</f>
        <v/>
      </c>
      <c r="E150" s="54"/>
      <c r="L150" s="52" t="str">
        <f t="shared" si="12"/>
        <v/>
      </c>
      <c r="M150" s="41" t="str">
        <f t="shared" ca="1" si="13"/>
        <v/>
      </c>
      <c r="N150" s="52" t="str">
        <f t="shared" si="14"/>
        <v/>
      </c>
      <c r="O150" s="55"/>
      <c r="Q150" t="str">
        <f ca="1">IF(AND($A150&lt;&gt;"",ISNUMBER(M150)),COUNTIF($M$4:$M$200,"&gt;"&amp;M150)+COUNTIF($M$4:M150,M150),"")</f>
        <v/>
      </c>
    </row>
    <row r="151" spans="2:17" x14ac:dyDescent="0.3">
      <c r="B151" s="49" t="str">
        <f>IFERROR(INDEX('Position Database'!B:B,MATCH($A151,'Position Database'!$A:$A,0)),"")</f>
        <v/>
      </c>
      <c r="C151" s="50" t="str">
        <f>IFERROR(INDEX('Position Database'!C:C,MATCH($A151,'Position Database'!$A:$A,0)),"")</f>
        <v/>
      </c>
      <c r="D151" s="41" t="str">
        <f>IFERROR(INDEX('Position Database'!D:D,MATCH($A151,'Position Database'!$A:$A,0)),"")</f>
        <v/>
      </c>
      <c r="E151" s="54"/>
      <c r="L151" s="52" t="str">
        <f t="shared" si="12"/>
        <v/>
      </c>
      <c r="M151" s="41" t="str">
        <f t="shared" ca="1" si="13"/>
        <v/>
      </c>
      <c r="N151" s="52" t="str">
        <f t="shared" si="14"/>
        <v/>
      </c>
      <c r="O151" s="55"/>
      <c r="Q151" t="str">
        <f ca="1">IF(AND($A151&lt;&gt;"",ISNUMBER(M151)),COUNTIF($M$4:$M$200,"&gt;"&amp;M151)+COUNTIF($M$4:M151,M151),"")</f>
        <v/>
      </c>
    </row>
    <row r="152" spans="2:17" x14ac:dyDescent="0.3">
      <c r="B152" s="49" t="str">
        <f>IFERROR(INDEX('Position Database'!B:B,MATCH($A152,'Position Database'!$A:$A,0)),"")</f>
        <v/>
      </c>
      <c r="C152" s="50" t="str">
        <f>IFERROR(INDEX('Position Database'!C:C,MATCH($A152,'Position Database'!$A:$A,0)),"")</f>
        <v/>
      </c>
      <c r="D152" s="41" t="str">
        <f>IFERROR(INDEX('Position Database'!D:D,MATCH($A152,'Position Database'!$A:$A,0)),"")</f>
        <v/>
      </c>
      <c r="E152" s="54"/>
      <c r="L152" s="52" t="str">
        <f t="shared" si="12"/>
        <v/>
      </c>
      <c r="M152" s="41" t="str">
        <f t="shared" ca="1" si="13"/>
        <v/>
      </c>
      <c r="N152" s="52" t="str">
        <f t="shared" si="14"/>
        <v/>
      </c>
      <c r="O152" s="55"/>
      <c r="Q152" t="str">
        <f ca="1">IF(AND($A152&lt;&gt;"",ISNUMBER(M152)),COUNTIF($M$4:$M$200,"&gt;"&amp;M152)+COUNTIF($M$4:M152,M152),"")</f>
        <v/>
      </c>
    </row>
    <row r="153" spans="2:17" x14ac:dyDescent="0.3">
      <c r="B153" s="49" t="str">
        <f>IFERROR(INDEX('Position Database'!B:B,MATCH($A153,'Position Database'!$A:$A,0)),"")</f>
        <v/>
      </c>
      <c r="C153" s="50" t="str">
        <f>IFERROR(INDEX('Position Database'!C:C,MATCH($A153,'Position Database'!$A:$A,0)),"")</f>
        <v/>
      </c>
      <c r="D153" s="41" t="str">
        <f>IFERROR(INDEX('Position Database'!D:D,MATCH($A153,'Position Database'!$A:$A,0)),"")</f>
        <v/>
      </c>
      <c r="E153" s="54"/>
      <c r="L153" s="52" t="str">
        <f t="shared" si="12"/>
        <v/>
      </c>
      <c r="M153" s="41" t="str">
        <f t="shared" ca="1" si="13"/>
        <v/>
      </c>
      <c r="N153" s="52" t="str">
        <f t="shared" si="14"/>
        <v/>
      </c>
      <c r="O153" s="55"/>
      <c r="Q153" t="str">
        <f ca="1">IF(AND($A153&lt;&gt;"",ISNUMBER(M153)),COUNTIF($M$4:$M$200,"&gt;"&amp;M153)+COUNTIF($M$4:M153,M153),"")</f>
        <v/>
      </c>
    </row>
    <row r="154" spans="2:17" x14ac:dyDescent="0.3">
      <c r="B154" s="49" t="str">
        <f>IFERROR(INDEX('Position Database'!B:B,MATCH($A154,'Position Database'!$A:$A,0)),"")</f>
        <v/>
      </c>
      <c r="C154" s="50" t="str">
        <f>IFERROR(INDEX('Position Database'!C:C,MATCH($A154,'Position Database'!$A:$A,0)),"")</f>
        <v/>
      </c>
      <c r="D154" s="41" t="str">
        <f>IFERROR(INDEX('Position Database'!D:D,MATCH($A154,'Position Database'!$A:$A,0)),"")</f>
        <v/>
      </c>
      <c r="E154" s="54"/>
      <c r="L154" s="52" t="str">
        <f t="shared" si="12"/>
        <v/>
      </c>
      <c r="M154" s="41" t="str">
        <f t="shared" ca="1" si="13"/>
        <v/>
      </c>
      <c r="N154" s="52" t="str">
        <f t="shared" si="14"/>
        <v/>
      </c>
      <c r="O154" s="55"/>
      <c r="Q154" t="str">
        <f ca="1">IF(AND($A154&lt;&gt;"",ISNUMBER(M154)),COUNTIF($M$4:$M$200,"&gt;"&amp;M154)+COUNTIF($M$4:M154,M154),"")</f>
        <v/>
      </c>
    </row>
    <row r="155" spans="2:17" x14ac:dyDescent="0.3">
      <c r="B155" s="49" t="str">
        <f>IFERROR(INDEX('Position Database'!B:B,MATCH($A155,'Position Database'!$A:$A,0)),"")</f>
        <v/>
      </c>
      <c r="C155" s="50" t="str">
        <f>IFERROR(INDEX('Position Database'!C:C,MATCH($A155,'Position Database'!$A:$A,0)),"")</f>
        <v/>
      </c>
      <c r="D155" s="41" t="str">
        <f>IFERROR(INDEX('Position Database'!D:D,MATCH($A155,'Position Database'!$A:$A,0)),"")</f>
        <v/>
      </c>
      <c r="E155" s="54"/>
      <c r="L155" s="52" t="str">
        <f t="shared" si="12"/>
        <v/>
      </c>
      <c r="M155" s="41" t="str">
        <f t="shared" ca="1" si="13"/>
        <v/>
      </c>
      <c r="N155" s="52" t="str">
        <f t="shared" si="14"/>
        <v/>
      </c>
      <c r="O155" s="55"/>
      <c r="Q155" t="str">
        <f ca="1">IF(AND($A155&lt;&gt;"",ISNUMBER(M155)),COUNTIF($M$4:$M$200,"&gt;"&amp;M155)+COUNTIF($M$4:M155,M155),"")</f>
        <v/>
      </c>
    </row>
    <row r="156" spans="2:17" x14ac:dyDescent="0.3">
      <c r="B156" s="49" t="str">
        <f>IFERROR(INDEX('Position Database'!B:B,MATCH($A156,'Position Database'!$A:$A,0)),"")</f>
        <v/>
      </c>
      <c r="C156" s="50" t="str">
        <f>IFERROR(INDEX('Position Database'!C:C,MATCH($A156,'Position Database'!$A:$A,0)),"")</f>
        <v/>
      </c>
      <c r="D156" s="41" t="str">
        <f>IFERROR(INDEX('Position Database'!D:D,MATCH($A156,'Position Database'!$A:$A,0)),"")</f>
        <v/>
      </c>
      <c r="E156" s="54"/>
      <c r="L156" s="52" t="str">
        <f t="shared" si="12"/>
        <v/>
      </c>
      <c r="M156" s="41" t="str">
        <f t="shared" ca="1" si="13"/>
        <v/>
      </c>
      <c r="N156" s="52" t="str">
        <f t="shared" si="14"/>
        <v/>
      </c>
      <c r="O156" s="55"/>
      <c r="Q156" t="str">
        <f ca="1">IF(AND($A156&lt;&gt;"",ISNUMBER(M156)),COUNTIF($M$4:$M$200,"&gt;"&amp;M156)+COUNTIF($M$4:M156,M156),"")</f>
        <v/>
      </c>
    </row>
    <row r="157" spans="2:17" x14ac:dyDescent="0.3">
      <c r="B157" s="49" t="str">
        <f>IFERROR(INDEX('Position Database'!B:B,MATCH($A157,'Position Database'!$A:$A,0)),"")</f>
        <v/>
      </c>
      <c r="C157" s="50" t="str">
        <f>IFERROR(INDEX('Position Database'!C:C,MATCH($A157,'Position Database'!$A:$A,0)),"")</f>
        <v/>
      </c>
      <c r="D157" s="41" t="str">
        <f>IFERROR(INDEX('Position Database'!D:D,MATCH($A157,'Position Database'!$A:$A,0)),"")</f>
        <v/>
      </c>
      <c r="E157" s="54"/>
      <c r="L157" s="52" t="str">
        <f t="shared" si="12"/>
        <v/>
      </c>
      <c r="M157" s="41" t="str">
        <f t="shared" ca="1" si="13"/>
        <v/>
      </c>
      <c r="N157" s="52" t="str">
        <f t="shared" si="14"/>
        <v/>
      </c>
      <c r="O157" s="55"/>
      <c r="Q157" t="str">
        <f ca="1">IF(AND($A157&lt;&gt;"",ISNUMBER(M157)),COUNTIF($M$4:$M$200,"&gt;"&amp;M157)+COUNTIF($M$4:M157,M157),"")</f>
        <v/>
      </c>
    </row>
    <row r="158" spans="2:17" x14ac:dyDescent="0.3">
      <c r="B158" s="49" t="str">
        <f>IFERROR(INDEX('Position Database'!B:B,MATCH($A158,'Position Database'!$A:$A,0)),"")</f>
        <v/>
      </c>
      <c r="C158" s="50" t="str">
        <f>IFERROR(INDEX('Position Database'!C:C,MATCH($A158,'Position Database'!$A:$A,0)),"")</f>
        <v/>
      </c>
      <c r="D158" s="41" t="str">
        <f>IFERROR(INDEX('Position Database'!D:D,MATCH($A158,'Position Database'!$A:$A,0)),"")</f>
        <v/>
      </c>
      <c r="E158" s="54"/>
      <c r="L158" s="52" t="str">
        <f t="shared" si="12"/>
        <v/>
      </c>
      <c r="M158" s="41" t="str">
        <f t="shared" ca="1" si="13"/>
        <v/>
      </c>
      <c r="N158" s="52" t="str">
        <f t="shared" si="14"/>
        <v/>
      </c>
      <c r="O158" s="55"/>
      <c r="Q158" t="str">
        <f ca="1">IF(AND($A158&lt;&gt;"",ISNUMBER(M158)),COUNTIF($M$4:$M$200,"&gt;"&amp;M158)+COUNTIF($M$4:M158,M158),"")</f>
        <v/>
      </c>
    </row>
    <row r="159" spans="2:17" x14ac:dyDescent="0.3">
      <c r="B159" s="49" t="str">
        <f>IFERROR(INDEX('Position Database'!B:B,MATCH($A159,'Position Database'!$A:$A,0)),"")</f>
        <v/>
      </c>
      <c r="C159" s="50" t="str">
        <f>IFERROR(INDEX('Position Database'!C:C,MATCH($A159,'Position Database'!$A:$A,0)),"")</f>
        <v/>
      </c>
      <c r="D159" s="41" t="str">
        <f>IFERROR(INDEX('Position Database'!D:D,MATCH($A159,'Position Database'!$A:$A,0)),"")</f>
        <v/>
      </c>
      <c r="E159" s="54"/>
      <c r="L159" s="52" t="str">
        <f t="shared" si="12"/>
        <v/>
      </c>
      <c r="M159" s="41" t="str">
        <f t="shared" ca="1" si="13"/>
        <v/>
      </c>
      <c r="N159" s="52" t="str">
        <f t="shared" si="14"/>
        <v/>
      </c>
      <c r="O159" s="55"/>
      <c r="Q159" t="str">
        <f ca="1">IF(AND($A159&lt;&gt;"",ISNUMBER(M159)),COUNTIF($M$4:$M$200,"&gt;"&amp;M159)+COUNTIF($M$4:M159,M159),"")</f>
        <v/>
      </c>
    </row>
    <row r="160" spans="2:17" x14ac:dyDescent="0.3">
      <c r="B160" s="49" t="str">
        <f>IFERROR(INDEX('Position Database'!B:B,MATCH($A160,'Position Database'!$A:$A,0)),"")</f>
        <v/>
      </c>
      <c r="C160" s="50" t="str">
        <f>IFERROR(INDEX('Position Database'!C:C,MATCH($A160,'Position Database'!$A:$A,0)),"")</f>
        <v/>
      </c>
      <c r="D160" s="41" t="str">
        <f>IFERROR(INDEX('Position Database'!D:D,MATCH($A160,'Position Database'!$A:$A,0)),"")</f>
        <v/>
      </c>
      <c r="E160" s="54"/>
      <c r="L160" s="52" t="str">
        <f t="shared" si="12"/>
        <v/>
      </c>
      <c r="M160" s="41" t="str">
        <f t="shared" ca="1" si="13"/>
        <v/>
      </c>
      <c r="N160" s="52" t="str">
        <f t="shared" si="14"/>
        <v/>
      </c>
      <c r="O160" s="55"/>
      <c r="Q160" t="str">
        <f ca="1">IF(AND($A160&lt;&gt;"",ISNUMBER(M160)),COUNTIF($M$4:$M$200,"&gt;"&amp;M160)+COUNTIF($M$4:M160,M160),"")</f>
        <v/>
      </c>
    </row>
    <row r="161" spans="2:17" x14ac:dyDescent="0.3">
      <c r="B161" s="49" t="str">
        <f>IFERROR(INDEX('Position Database'!B:B,MATCH($A161,'Position Database'!$A:$A,0)),"")</f>
        <v/>
      </c>
      <c r="C161" s="50" t="str">
        <f>IFERROR(INDEX('Position Database'!C:C,MATCH($A161,'Position Database'!$A:$A,0)),"")</f>
        <v/>
      </c>
      <c r="D161" s="41" t="str">
        <f>IFERROR(INDEX('Position Database'!D:D,MATCH($A161,'Position Database'!$A:$A,0)),"")</f>
        <v/>
      </c>
      <c r="E161" s="54"/>
      <c r="L161" s="52" t="str">
        <f t="shared" si="12"/>
        <v/>
      </c>
      <c r="M161" s="41" t="str">
        <f t="shared" ca="1" si="13"/>
        <v/>
      </c>
      <c r="N161" s="52" t="str">
        <f t="shared" si="14"/>
        <v/>
      </c>
      <c r="O161" s="55"/>
      <c r="Q161" t="str">
        <f ca="1">IF(AND($A161&lt;&gt;"",ISNUMBER(M161)),COUNTIF($M$4:$M$200,"&gt;"&amp;M161)+COUNTIF($M$4:M161,M161),"")</f>
        <v/>
      </c>
    </row>
    <row r="162" spans="2:17" x14ac:dyDescent="0.3">
      <c r="B162" s="49" t="str">
        <f>IFERROR(INDEX('Position Database'!B:B,MATCH($A162,'Position Database'!$A:$A,0)),"")</f>
        <v/>
      </c>
      <c r="C162" s="50" t="str">
        <f>IFERROR(INDEX('Position Database'!C:C,MATCH($A162,'Position Database'!$A:$A,0)),"")</f>
        <v/>
      </c>
      <c r="D162" s="41" t="str">
        <f>IFERROR(INDEX('Position Database'!D:D,MATCH($A162,'Position Database'!$A:$A,0)),"")</f>
        <v/>
      </c>
      <c r="E162" s="54"/>
      <c r="L162" s="52" t="str">
        <f t="shared" si="12"/>
        <v/>
      </c>
      <c r="M162" s="41" t="str">
        <f t="shared" ca="1" si="13"/>
        <v/>
      </c>
      <c r="N162" s="52" t="str">
        <f t="shared" si="14"/>
        <v/>
      </c>
      <c r="O162" s="55"/>
      <c r="Q162" t="str">
        <f ca="1">IF(AND($A162&lt;&gt;"",ISNUMBER(M162)),COUNTIF($M$4:$M$200,"&gt;"&amp;M162)+COUNTIF($M$4:M162,M162),"")</f>
        <v/>
      </c>
    </row>
    <row r="163" spans="2:17" x14ac:dyDescent="0.3">
      <c r="B163" s="49" t="str">
        <f>IFERROR(INDEX('Position Database'!B:B,MATCH($A163,'Position Database'!$A:$A,0)),"")</f>
        <v/>
      </c>
      <c r="C163" s="50" t="str">
        <f>IFERROR(INDEX('Position Database'!C:C,MATCH($A163,'Position Database'!$A:$A,0)),"")</f>
        <v/>
      </c>
      <c r="D163" s="41" t="str">
        <f>IFERROR(INDEX('Position Database'!D:D,MATCH($A163,'Position Database'!$A:$A,0)),"")</f>
        <v/>
      </c>
      <c r="E163" s="54"/>
      <c r="L163" s="52" t="str">
        <f t="shared" si="12"/>
        <v/>
      </c>
      <c r="M163" s="41" t="str">
        <f t="shared" ca="1" si="13"/>
        <v/>
      </c>
      <c r="N163" s="52" t="str">
        <f t="shared" si="14"/>
        <v/>
      </c>
      <c r="O163" s="55"/>
      <c r="Q163" t="str">
        <f ca="1">IF(AND($A163&lt;&gt;"",ISNUMBER(M163)),COUNTIF($M$4:$M$200,"&gt;"&amp;M163)+COUNTIF($M$4:M163,M163),"")</f>
        <v/>
      </c>
    </row>
    <row r="164" spans="2:17" x14ac:dyDescent="0.3">
      <c r="B164" s="49" t="str">
        <f>IFERROR(INDEX('Position Database'!B:B,MATCH($A164,'Position Database'!$A:$A,0)),"")</f>
        <v/>
      </c>
      <c r="C164" s="50" t="str">
        <f>IFERROR(INDEX('Position Database'!C:C,MATCH($A164,'Position Database'!$A:$A,0)),"")</f>
        <v/>
      </c>
      <c r="D164" s="41" t="str">
        <f>IFERROR(INDEX('Position Database'!D:D,MATCH($A164,'Position Database'!$A:$A,0)),"")</f>
        <v/>
      </c>
      <c r="E164" s="54"/>
      <c r="L164" s="52" t="str">
        <f t="shared" ref="L164:L195" si="15">IF(COUNT(E164,I164,J164,K164)=0,"",MAX(E164,I164,J164,K164))</f>
        <v/>
      </c>
      <c r="M164" s="41" t="str">
        <f t="shared" ref="M164:M195" ca="1" si="16">IF(OR($A164="",NOT(ISNUMBER(L164))),"",IF(OR(O164="Positive Reply",O164="Accepted",O164="Rejected"),"",TODAY()-L164))</f>
        <v/>
      </c>
      <c r="N164" s="52" t="str">
        <f t="shared" ref="N164:N195" si="17">IF(OR($A164="",NOT(ISNUMBER(L164))),"",IF(OR(O164="Positive Reply",O164="Accepted",O164="Rejected"),"",L164+14))</f>
        <v/>
      </c>
      <c r="O164" s="55"/>
      <c r="Q164" t="str">
        <f ca="1">IF(AND($A164&lt;&gt;"",ISNUMBER(M164)),COUNTIF($M$4:$M$200,"&gt;"&amp;M164)+COUNTIF($M$4:M164,M164),"")</f>
        <v/>
      </c>
    </row>
    <row r="165" spans="2:17" x14ac:dyDescent="0.3">
      <c r="B165" s="49" t="str">
        <f>IFERROR(INDEX('Position Database'!B:B,MATCH($A165,'Position Database'!$A:$A,0)),"")</f>
        <v/>
      </c>
      <c r="C165" s="50" t="str">
        <f>IFERROR(INDEX('Position Database'!C:C,MATCH($A165,'Position Database'!$A:$A,0)),"")</f>
        <v/>
      </c>
      <c r="D165" s="41" t="str">
        <f>IFERROR(INDEX('Position Database'!D:D,MATCH($A165,'Position Database'!$A:$A,0)),"")</f>
        <v/>
      </c>
      <c r="E165" s="54"/>
      <c r="L165" s="52" t="str">
        <f t="shared" si="15"/>
        <v/>
      </c>
      <c r="M165" s="41" t="str">
        <f t="shared" ca="1" si="16"/>
        <v/>
      </c>
      <c r="N165" s="52" t="str">
        <f t="shared" si="17"/>
        <v/>
      </c>
      <c r="O165" s="55"/>
      <c r="Q165" t="str">
        <f ca="1">IF(AND($A165&lt;&gt;"",ISNUMBER(M165)),COUNTIF($M$4:$M$200,"&gt;"&amp;M165)+COUNTIF($M$4:M165,M165),"")</f>
        <v/>
      </c>
    </row>
    <row r="166" spans="2:17" x14ac:dyDescent="0.3">
      <c r="B166" s="49" t="str">
        <f>IFERROR(INDEX('Position Database'!B:B,MATCH($A166,'Position Database'!$A:$A,0)),"")</f>
        <v/>
      </c>
      <c r="C166" s="50" t="str">
        <f>IFERROR(INDEX('Position Database'!C:C,MATCH($A166,'Position Database'!$A:$A,0)),"")</f>
        <v/>
      </c>
      <c r="D166" s="41" t="str">
        <f>IFERROR(INDEX('Position Database'!D:D,MATCH($A166,'Position Database'!$A:$A,0)),"")</f>
        <v/>
      </c>
      <c r="E166" s="54"/>
      <c r="L166" s="52" t="str">
        <f t="shared" si="15"/>
        <v/>
      </c>
      <c r="M166" s="41" t="str">
        <f t="shared" ca="1" si="16"/>
        <v/>
      </c>
      <c r="N166" s="52" t="str">
        <f t="shared" si="17"/>
        <v/>
      </c>
      <c r="O166" s="55"/>
      <c r="Q166" t="str">
        <f ca="1">IF(AND($A166&lt;&gt;"",ISNUMBER(M166)),COUNTIF($M$4:$M$200,"&gt;"&amp;M166)+COUNTIF($M$4:M166,M166),"")</f>
        <v/>
      </c>
    </row>
    <row r="167" spans="2:17" x14ac:dyDescent="0.3">
      <c r="B167" s="49" t="str">
        <f>IFERROR(INDEX('Position Database'!B:B,MATCH($A167,'Position Database'!$A:$A,0)),"")</f>
        <v/>
      </c>
      <c r="C167" s="50" t="str">
        <f>IFERROR(INDEX('Position Database'!C:C,MATCH($A167,'Position Database'!$A:$A,0)),"")</f>
        <v/>
      </c>
      <c r="D167" s="41" t="str">
        <f>IFERROR(INDEX('Position Database'!D:D,MATCH($A167,'Position Database'!$A:$A,0)),"")</f>
        <v/>
      </c>
      <c r="E167" s="54"/>
      <c r="L167" s="52" t="str">
        <f t="shared" si="15"/>
        <v/>
      </c>
      <c r="M167" s="41" t="str">
        <f t="shared" ca="1" si="16"/>
        <v/>
      </c>
      <c r="N167" s="52" t="str">
        <f t="shared" si="17"/>
        <v/>
      </c>
      <c r="O167" s="55"/>
      <c r="Q167" t="str">
        <f ca="1">IF(AND($A167&lt;&gt;"",ISNUMBER(M167)),COUNTIF($M$4:$M$200,"&gt;"&amp;M167)+COUNTIF($M$4:M167,M167),"")</f>
        <v/>
      </c>
    </row>
    <row r="168" spans="2:17" x14ac:dyDescent="0.3">
      <c r="B168" s="49" t="str">
        <f>IFERROR(INDEX('Position Database'!B:B,MATCH($A168,'Position Database'!$A:$A,0)),"")</f>
        <v/>
      </c>
      <c r="C168" s="50" t="str">
        <f>IFERROR(INDEX('Position Database'!C:C,MATCH($A168,'Position Database'!$A:$A,0)),"")</f>
        <v/>
      </c>
      <c r="D168" s="41" t="str">
        <f>IFERROR(INDEX('Position Database'!D:D,MATCH($A168,'Position Database'!$A:$A,0)),"")</f>
        <v/>
      </c>
      <c r="E168" s="54"/>
      <c r="L168" s="52" t="str">
        <f t="shared" si="15"/>
        <v/>
      </c>
      <c r="M168" s="41" t="str">
        <f t="shared" ca="1" si="16"/>
        <v/>
      </c>
      <c r="N168" s="52" t="str">
        <f t="shared" si="17"/>
        <v/>
      </c>
      <c r="O168" s="55"/>
      <c r="Q168" t="str">
        <f ca="1">IF(AND($A168&lt;&gt;"",ISNUMBER(M168)),COUNTIF($M$4:$M$200,"&gt;"&amp;M168)+COUNTIF($M$4:M168,M168),"")</f>
        <v/>
      </c>
    </row>
    <row r="169" spans="2:17" x14ac:dyDescent="0.3">
      <c r="B169" s="49" t="str">
        <f>IFERROR(INDEX('Position Database'!B:B,MATCH($A169,'Position Database'!$A:$A,0)),"")</f>
        <v/>
      </c>
      <c r="C169" s="50" t="str">
        <f>IFERROR(INDEX('Position Database'!C:C,MATCH($A169,'Position Database'!$A:$A,0)),"")</f>
        <v/>
      </c>
      <c r="D169" s="41" t="str">
        <f>IFERROR(INDEX('Position Database'!D:D,MATCH($A169,'Position Database'!$A:$A,0)),"")</f>
        <v/>
      </c>
      <c r="E169" s="54"/>
      <c r="L169" s="52" t="str">
        <f t="shared" si="15"/>
        <v/>
      </c>
      <c r="M169" s="41" t="str">
        <f t="shared" ca="1" si="16"/>
        <v/>
      </c>
      <c r="N169" s="52" t="str">
        <f t="shared" si="17"/>
        <v/>
      </c>
      <c r="O169" s="55"/>
      <c r="Q169" t="str">
        <f ca="1">IF(AND($A169&lt;&gt;"",ISNUMBER(M169)),COUNTIF($M$4:$M$200,"&gt;"&amp;M169)+COUNTIF($M$4:M169,M169),"")</f>
        <v/>
      </c>
    </row>
    <row r="170" spans="2:17" x14ac:dyDescent="0.3">
      <c r="B170" s="49" t="str">
        <f>IFERROR(INDEX('Position Database'!B:B,MATCH($A170,'Position Database'!$A:$A,0)),"")</f>
        <v/>
      </c>
      <c r="C170" s="50" t="str">
        <f>IFERROR(INDEX('Position Database'!C:C,MATCH($A170,'Position Database'!$A:$A,0)),"")</f>
        <v/>
      </c>
      <c r="D170" s="41" t="str">
        <f>IFERROR(INDEX('Position Database'!D:D,MATCH($A170,'Position Database'!$A:$A,0)),"")</f>
        <v/>
      </c>
      <c r="E170" s="54"/>
      <c r="L170" s="52" t="str">
        <f t="shared" si="15"/>
        <v/>
      </c>
      <c r="M170" s="41" t="str">
        <f t="shared" ca="1" si="16"/>
        <v/>
      </c>
      <c r="N170" s="52" t="str">
        <f t="shared" si="17"/>
        <v/>
      </c>
      <c r="O170" s="55"/>
      <c r="Q170" t="str">
        <f ca="1">IF(AND($A170&lt;&gt;"",ISNUMBER(M170)),COUNTIF($M$4:$M$200,"&gt;"&amp;M170)+COUNTIF($M$4:M170,M170),"")</f>
        <v/>
      </c>
    </row>
    <row r="171" spans="2:17" x14ac:dyDescent="0.3">
      <c r="B171" s="49" t="str">
        <f>IFERROR(INDEX('Position Database'!B:B,MATCH($A171,'Position Database'!$A:$A,0)),"")</f>
        <v/>
      </c>
      <c r="C171" s="50" t="str">
        <f>IFERROR(INDEX('Position Database'!C:C,MATCH($A171,'Position Database'!$A:$A,0)),"")</f>
        <v/>
      </c>
      <c r="D171" s="41" t="str">
        <f>IFERROR(INDEX('Position Database'!D:D,MATCH($A171,'Position Database'!$A:$A,0)),"")</f>
        <v/>
      </c>
      <c r="E171" s="54"/>
      <c r="L171" s="52" t="str">
        <f t="shared" si="15"/>
        <v/>
      </c>
      <c r="M171" s="41" t="str">
        <f t="shared" ca="1" si="16"/>
        <v/>
      </c>
      <c r="N171" s="52" t="str">
        <f t="shared" si="17"/>
        <v/>
      </c>
      <c r="O171" s="55"/>
      <c r="Q171" t="str">
        <f ca="1">IF(AND($A171&lt;&gt;"",ISNUMBER(M171)),COUNTIF($M$4:$M$200,"&gt;"&amp;M171)+COUNTIF($M$4:M171,M171),"")</f>
        <v/>
      </c>
    </row>
    <row r="172" spans="2:17" x14ac:dyDescent="0.3">
      <c r="B172" s="49" t="str">
        <f>IFERROR(INDEX('Position Database'!B:B,MATCH($A172,'Position Database'!$A:$A,0)),"")</f>
        <v/>
      </c>
      <c r="C172" s="50" t="str">
        <f>IFERROR(INDEX('Position Database'!C:C,MATCH($A172,'Position Database'!$A:$A,0)),"")</f>
        <v/>
      </c>
      <c r="D172" s="41" t="str">
        <f>IFERROR(INDEX('Position Database'!D:D,MATCH($A172,'Position Database'!$A:$A,0)),"")</f>
        <v/>
      </c>
      <c r="E172" s="54"/>
      <c r="L172" s="52" t="str">
        <f t="shared" si="15"/>
        <v/>
      </c>
      <c r="M172" s="41" t="str">
        <f t="shared" ca="1" si="16"/>
        <v/>
      </c>
      <c r="N172" s="52" t="str">
        <f t="shared" si="17"/>
        <v/>
      </c>
      <c r="O172" s="55"/>
      <c r="Q172" t="str">
        <f ca="1">IF(AND($A172&lt;&gt;"",ISNUMBER(M172)),COUNTIF($M$4:$M$200,"&gt;"&amp;M172)+COUNTIF($M$4:M172,M172),"")</f>
        <v/>
      </c>
    </row>
    <row r="173" spans="2:17" x14ac:dyDescent="0.3">
      <c r="B173" s="49" t="str">
        <f>IFERROR(INDEX('Position Database'!B:B,MATCH($A173,'Position Database'!$A:$A,0)),"")</f>
        <v/>
      </c>
      <c r="C173" s="50" t="str">
        <f>IFERROR(INDEX('Position Database'!C:C,MATCH($A173,'Position Database'!$A:$A,0)),"")</f>
        <v/>
      </c>
      <c r="D173" s="41" t="str">
        <f>IFERROR(INDEX('Position Database'!D:D,MATCH($A173,'Position Database'!$A:$A,0)),"")</f>
        <v/>
      </c>
      <c r="E173" s="54"/>
      <c r="L173" s="52" t="str">
        <f t="shared" si="15"/>
        <v/>
      </c>
      <c r="M173" s="41" t="str">
        <f t="shared" ca="1" si="16"/>
        <v/>
      </c>
      <c r="N173" s="52" t="str">
        <f t="shared" si="17"/>
        <v/>
      </c>
      <c r="O173" s="55"/>
      <c r="Q173" t="str">
        <f ca="1">IF(AND($A173&lt;&gt;"",ISNUMBER(M173)),COUNTIF($M$4:$M$200,"&gt;"&amp;M173)+COUNTIF($M$4:M173,M173),"")</f>
        <v/>
      </c>
    </row>
    <row r="174" spans="2:17" x14ac:dyDescent="0.3">
      <c r="B174" s="49" t="str">
        <f>IFERROR(INDEX('Position Database'!B:B,MATCH($A174,'Position Database'!$A:$A,0)),"")</f>
        <v/>
      </c>
      <c r="C174" s="50" t="str">
        <f>IFERROR(INDEX('Position Database'!C:C,MATCH($A174,'Position Database'!$A:$A,0)),"")</f>
        <v/>
      </c>
      <c r="D174" s="41" t="str">
        <f>IFERROR(INDEX('Position Database'!D:D,MATCH($A174,'Position Database'!$A:$A,0)),"")</f>
        <v/>
      </c>
      <c r="E174" s="54"/>
      <c r="L174" s="52" t="str">
        <f t="shared" si="15"/>
        <v/>
      </c>
      <c r="M174" s="41" t="str">
        <f t="shared" ca="1" si="16"/>
        <v/>
      </c>
      <c r="N174" s="52" t="str">
        <f t="shared" si="17"/>
        <v/>
      </c>
      <c r="O174" s="55"/>
      <c r="Q174" t="str">
        <f ca="1">IF(AND($A174&lt;&gt;"",ISNUMBER(M174)),COUNTIF($M$4:$M$200,"&gt;"&amp;M174)+COUNTIF($M$4:M174,M174),"")</f>
        <v/>
      </c>
    </row>
    <row r="175" spans="2:17" x14ac:dyDescent="0.3">
      <c r="B175" s="49" t="str">
        <f>IFERROR(INDEX('Position Database'!B:B,MATCH($A175,'Position Database'!$A:$A,0)),"")</f>
        <v/>
      </c>
      <c r="C175" s="50" t="str">
        <f>IFERROR(INDEX('Position Database'!C:C,MATCH($A175,'Position Database'!$A:$A,0)),"")</f>
        <v/>
      </c>
      <c r="D175" s="41" t="str">
        <f>IFERROR(INDEX('Position Database'!D:D,MATCH($A175,'Position Database'!$A:$A,0)),"")</f>
        <v/>
      </c>
      <c r="E175" s="54"/>
      <c r="L175" s="52" t="str">
        <f t="shared" si="15"/>
        <v/>
      </c>
      <c r="M175" s="41" t="str">
        <f t="shared" ca="1" si="16"/>
        <v/>
      </c>
      <c r="N175" s="52" t="str">
        <f t="shared" si="17"/>
        <v/>
      </c>
      <c r="O175" s="55"/>
      <c r="Q175" t="str">
        <f ca="1">IF(AND($A175&lt;&gt;"",ISNUMBER(M175)),COUNTIF($M$4:$M$200,"&gt;"&amp;M175)+COUNTIF($M$4:M175,M175),"")</f>
        <v/>
      </c>
    </row>
    <row r="176" spans="2:17" x14ac:dyDescent="0.3">
      <c r="B176" s="49" t="str">
        <f>IFERROR(INDEX('Position Database'!B:B,MATCH($A176,'Position Database'!$A:$A,0)),"")</f>
        <v/>
      </c>
      <c r="C176" s="50" t="str">
        <f>IFERROR(INDEX('Position Database'!C:C,MATCH($A176,'Position Database'!$A:$A,0)),"")</f>
        <v/>
      </c>
      <c r="D176" s="41" t="str">
        <f>IFERROR(INDEX('Position Database'!D:D,MATCH($A176,'Position Database'!$A:$A,0)),"")</f>
        <v/>
      </c>
      <c r="E176" s="54"/>
      <c r="L176" s="52" t="str">
        <f t="shared" si="15"/>
        <v/>
      </c>
      <c r="M176" s="41" t="str">
        <f t="shared" ca="1" si="16"/>
        <v/>
      </c>
      <c r="N176" s="52" t="str">
        <f t="shared" si="17"/>
        <v/>
      </c>
      <c r="O176" s="55"/>
      <c r="Q176" t="str">
        <f ca="1">IF(AND($A176&lt;&gt;"",ISNUMBER(M176)),COUNTIF($M$4:$M$200,"&gt;"&amp;M176)+COUNTIF($M$4:M176,M176),"")</f>
        <v/>
      </c>
    </row>
    <row r="177" spans="2:17" x14ac:dyDescent="0.3">
      <c r="B177" s="49" t="str">
        <f>IFERROR(INDEX('Position Database'!B:B,MATCH($A177,'Position Database'!$A:$A,0)),"")</f>
        <v/>
      </c>
      <c r="C177" s="50" t="str">
        <f>IFERROR(INDEX('Position Database'!C:C,MATCH($A177,'Position Database'!$A:$A,0)),"")</f>
        <v/>
      </c>
      <c r="D177" s="41" t="str">
        <f>IFERROR(INDEX('Position Database'!D:D,MATCH($A177,'Position Database'!$A:$A,0)),"")</f>
        <v/>
      </c>
      <c r="E177" s="54"/>
      <c r="L177" s="52" t="str">
        <f t="shared" si="15"/>
        <v/>
      </c>
      <c r="M177" s="41" t="str">
        <f t="shared" ca="1" si="16"/>
        <v/>
      </c>
      <c r="N177" s="52" t="str">
        <f t="shared" si="17"/>
        <v/>
      </c>
      <c r="O177" s="55"/>
      <c r="Q177" t="str">
        <f ca="1">IF(AND($A177&lt;&gt;"",ISNUMBER(M177)),COUNTIF($M$4:$M$200,"&gt;"&amp;M177)+COUNTIF($M$4:M177,M177),"")</f>
        <v/>
      </c>
    </row>
    <row r="178" spans="2:17" x14ac:dyDescent="0.3">
      <c r="B178" s="49" t="str">
        <f>IFERROR(INDEX('Position Database'!B:B,MATCH($A178,'Position Database'!$A:$A,0)),"")</f>
        <v/>
      </c>
      <c r="C178" s="50" t="str">
        <f>IFERROR(INDEX('Position Database'!C:C,MATCH($A178,'Position Database'!$A:$A,0)),"")</f>
        <v/>
      </c>
      <c r="D178" s="41" t="str">
        <f>IFERROR(INDEX('Position Database'!D:D,MATCH($A178,'Position Database'!$A:$A,0)),"")</f>
        <v/>
      </c>
      <c r="E178" s="54"/>
      <c r="L178" s="52" t="str">
        <f t="shared" si="15"/>
        <v/>
      </c>
      <c r="M178" s="41" t="str">
        <f t="shared" ca="1" si="16"/>
        <v/>
      </c>
      <c r="N178" s="52" t="str">
        <f t="shared" si="17"/>
        <v/>
      </c>
      <c r="O178" s="55"/>
      <c r="Q178" t="str">
        <f ca="1">IF(AND($A178&lt;&gt;"",ISNUMBER(M178)),COUNTIF($M$4:$M$200,"&gt;"&amp;M178)+COUNTIF($M$4:M178,M178),"")</f>
        <v/>
      </c>
    </row>
    <row r="179" spans="2:17" x14ac:dyDescent="0.3">
      <c r="B179" s="49" t="str">
        <f>IFERROR(INDEX('Position Database'!B:B,MATCH($A179,'Position Database'!$A:$A,0)),"")</f>
        <v/>
      </c>
      <c r="C179" s="50" t="str">
        <f>IFERROR(INDEX('Position Database'!C:C,MATCH($A179,'Position Database'!$A:$A,0)),"")</f>
        <v/>
      </c>
      <c r="D179" s="41" t="str">
        <f>IFERROR(INDEX('Position Database'!D:D,MATCH($A179,'Position Database'!$A:$A,0)),"")</f>
        <v/>
      </c>
      <c r="E179" s="54"/>
      <c r="L179" s="52" t="str">
        <f t="shared" si="15"/>
        <v/>
      </c>
      <c r="M179" s="41" t="str">
        <f t="shared" ca="1" si="16"/>
        <v/>
      </c>
      <c r="N179" s="52" t="str">
        <f t="shared" si="17"/>
        <v/>
      </c>
      <c r="O179" s="55"/>
      <c r="Q179" t="str">
        <f ca="1">IF(AND($A179&lt;&gt;"",ISNUMBER(M179)),COUNTIF($M$4:$M$200,"&gt;"&amp;M179)+COUNTIF($M$4:M179,M179),"")</f>
        <v/>
      </c>
    </row>
    <row r="180" spans="2:17" x14ac:dyDescent="0.3">
      <c r="B180" s="49" t="str">
        <f>IFERROR(INDEX('Position Database'!B:B,MATCH($A180,'Position Database'!$A:$A,0)),"")</f>
        <v/>
      </c>
      <c r="C180" s="50" t="str">
        <f>IFERROR(INDEX('Position Database'!C:C,MATCH($A180,'Position Database'!$A:$A,0)),"")</f>
        <v/>
      </c>
      <c r="D180" s="41" t="str">
        <f>IFERROR(INDEX('Position Database'!D:D,MATCH($A180,'Position Database'!$A:$A,0)),"")</f>
        <v/>
      </c>
      <c r="E180" s="54"/>
      <c r="L180" s="52" t="str">
        <f t="shared" si="15"/>
        <v/>
      </c>
      <c r="M180" s="41" t="str">
        <f t="shared" ca="1" si="16"/>
        <v/>
      </c>
      <c r="N180" s="52" t="str">
        <f t="shared" si="17"/>
        <v/>
      </c>
      <c r="O180" s="55"/>
      <c r="Q180" t="str">
        <f ca="1">IF(AND($A180&lt;&gt;"",ISNUMBER(M180)),COUNTIF($M$4:$M$200,"&gt;"&amp;M180)+COUNTIF($M$4:M180,M180),"")</f>
        <v/>
      </c>
    </row>
    <row r="181" spans="2:17" x14ac:dyDescent="0.3">
      <c r="B181" s="49" t="str">
        <f>IFERROR(INDEX('Position Database'!B:B,MATCH($A181,'Position Database'!$A:$A,0)),"")</f>
        <v/>
      </c>
      <c r="C181" s="50" t="str">
        <f>IFERROR(INDEX('Position Database'!C:C,MATCH($A181,'Position Database'!$A:$A,0)),"")</f>
        <v/>
      </c>
      <c r="D181" s="41" t="str">
        <f>IFERROR(INDEX('Position Database'!D:D,MATCH($A181,'Position Database'!$A:$A,0)),"")</f>
        <v/>
      </c>
      <c r="E181" s="54"/>
      <c r="L181" s="52" t="str">
        <f t="shared" si="15"/>
        <v/>
      </c>
      <c r="M181" s="41" t="str">
        <f t="shared" ca="1" si="16"/>
        <v/>
      </c>
      <c r="N181" s="52" t="str">
        <f t="shared" si="17"/>
        <v/>
      </c>
      <c r="O181" s="55"/>
      <c r="Q181" t="str">
        <f ca="1">IF(AND($A181&lt;&gt;"",ISNUMBER(M181)),COUNTIF($M$4:$M$200,"&gt;"&amp;M181)+COUNTIF($M$4:M181,M181),"")</f>
        <v/>
      </c>
    </row>
    <row r="182" spans="2:17" x14ac:dyDescent="0.3">
      <c r="B182" s="49" t="str">
        <f>IFERROR(INDEX('Position Database'!B:B,MATCH($A182,'Position Database'!$A:$A,0)),"")</f>
        <v/>
      </c>
      <c r="C182" s="50" t="str">
        <f>IFERROR(INDEX('Position Database'!C:C,MATCH($A182,'Position Database'!$A:$A,0)),"")</f>
        <v/>
      </c>
      <c r="D182" s="41" t="str">
        <f>IFERROR(INDEX('Position Database'!D:D,MATCH($A182,'Position Database'!$A:$A,0)),"")</f>
        <v/>
      </c>
      <c r="E182" s="54"/>
      <c r="L182" s="52" t="str">
        <f t="shared" si="15"/>
        <v/>
      </c>
      <c r="M182" s="41" t="str">
        <f t="shared" ca="1" si="16"/>
        <v/>
      </c>
      <c r="N182" s="52" t="str">
        <f t="shared" si="17"/>
        <v/>
      </c>
      <c r="O182" s="55"/>
      <c r="Q182" t="str">
        <f ca="1">IF(AND($A182&lt;&gt;"",ISNUMBER(M182)),COUNTIF($M$4:$M$200,"&gt;"&amp;M182)+COUNTIF($M$4:M182,M182),"")</f>
        <v/>
      </c>
    </row>
    <row r="183" spans="2:17" x14ac:dyDescent="0.3">
      <c r="B183" s="49" t="str">
        <f>IFERROR(INDEX('Position Database'!B:B,MATCH($A183,'Position Database'!$A:$A,0)),"")</f>
        <v/>
      </c>
      <c r="C183" s="50" t="str">
        <f>IFERROR(INDEX('Position Database'!C:C,MATCH($A183,'Position Database'!$A:$A,0)),"")</f>
        <v/>
      </c>
      <c r="D183" s="41" t="str">
        <f>IFERROR(INDEX('Position Database'!D:D,MATCH($A183,'Position Database'!$A:$A,0)),"")</f>
        <v/>
      </c>
      <c r="E183" s="54"/>
      <c r="L183" s="52" t="str">
        <f t="shared" si="15"/>
        <v/>
      </c>
      <c r="M183" s="41" t="str">
        <f t="shared" ca="1" si="16"/>
        <v/>
      </c>
      <c r="N183" s="52" t="str">
        <f t="shared" si="17"/>
        <v/>
      </c>
      <c r="O183" s="55"/>
      <c r="Q183" t="str">
        <f ca="1">IF(AND($A183&lt;&gt;"",ISNUMBER(M183)),COUNTIF($M$4:$M$200,"&gt;"&amp;M183)+COUNTIF($M$4:M183,M183),"")</f>
        <v/>
      </c>
    </row>
    <row r="184" spans="2:17" x14ac:dyDescent="0.3">
      <c r="B184" s="49" t="str">
        <f>IFERROR(INDEX('Position Database'!B:B,MATCH($A184,'Position Database'!$A:$A,0)),"")</f>
        <v/>
      </c>
      <c r="C184" s="50" t="str">
        <f>IFERROR(INDEX('Position Database'!C:C,MATCH($A184,'Position Database'!$A:$A,0)),"")</f>
        <v/>
      </c>
      <c r="D184" s="41" t="str">
        <f>IFERROR(INDEX('Position Database'!D:D,MATCH($A184,'Position Database'!$A:$A,0)),"")</f>
        <v/>
      </c>
      <c r="E184" s="54"/>
      <c r="L184" s="52" t="str">
        <f t="shared" si="15"/>
        <v/>
      </c>
      <c r="M184" s="41" t="str">
        <f t="shared" ca="1" si="16"/>
        <v/>
      </c>
      <c r="N184" s="52" t="str">
        <f t="shared" si="17"/>
        <v/>
      </c>
      <c r="O184" s="55"/>
      <c r="Q184" t="str">
        <f ca="1">IF(AND($A184&lt;&gt;"",ISNUMBER(M184)),COUNTIF($M$4:$M$200,"&gt;"&amp;M184)+COUNTIF($M$4:M184,M184),"")</f>
        <v/>
      </c>
    </row>
    <row r="185" spans="2:17" x14ac:dyDescent="0.3">
      <c r="B185" s="49" t="str">
        <f>IFERROR(INDEX('Position Database'!B:B,MATCH($A185,'Position Database'!$A:$A,0)),"")</f>
        <v/>
      </c>
      <c r="C185" s="50" t="str">
        <f>IFERROR(INDEX('Position Database'!C:C,MATCH($A185,'Position Database'!$A:$A,0)),"")</f>
        <v/>
      </c>
      <c r="D185" s="41" t="str">
        <f>IFERROR(INDEX('Position Database'!D:D,MATCH($A185,'Position Database'!$A:$A,0)),"")</f>
        <v/>
      </c>
      <c r="E185" s="54"/>
      <c r="L185" s="52" t="str">
        <f t="shared" si="15"/>
        <v/>
      </c>
      <c r="M185" s="41" t="str">
        <f t="shared" ca="1" si="16"/>
        <v/>
      </c>
      <c r="N185" s="52" t="str">
        <f t="shared" si="17"/>
        <v/>
      </c>
      <c r="O185" s="55"/>
      <c r="Q185" t="str">
        <f ca="1">IF(AND($A185&lt;&gt;"",ISNUMBER(M185)),COUNTIF($M$4:$M$200,"&gt;"&amp;M185)+COUNTIF($M$4:M185,M185),"")</f>
        <v/>
      </c>
    </row>
    <row r="186" spans="2:17" x14ac:dyDescent="0.3">
      <c r="B186" s="49" t="str">
        <f>IFERROR(INDEX('Position Database'!B:B,MATCH($A186,'Position Database'!$A:$A,0)),"")</f>
        <v/>
      </c>
      <c r="C186" s="50" t="str">
        <f>IFERROR(INDEX('Position Database'!C:C,MATCH($A186,'Position Database'!$A:$A,0)),"")</f>
        <v/>
      </c>
      <c r="D186" s="41" t="str">
        <f>IFERROR(INDEX('Position Database'!D:D,MATCH($A186,'Position Database'!$A:$A,0)),"")</f>
        <v/>
      </c>
      <c r="E186" s="54"/>
      <c r="L186" s="52" t="str">
        <f t="shared" si="15"/>
        <v/>
      </c>
      <c r="M186" s="41" t="str">
        <f t="shared" ca="1" si="16"/>
        <v/>
      </c>
      <c r="N186" s="52" t="str">
        <f t="shared" si="17"/>
        <v/>
      </c>
      <c r="O186" s="55"/>
      <c r="Q186" t="str">
        <f ca="1">IF(AND($A186&lt;&gt;"",ISNUMBER(M186)),COUNTIF($M$4:$M$200,"&gt;"&amp;M186)+COUNTIF($M$4:M186,M186),"")</f>
        <v/>
      </c>
    </row>
    <row r="187" spans="2:17" x14ac:dyDescent="0.3">
      <c r="B187" s="49" t="str">
        <f>IFERROR(INDEX('Position Database'!B:B,MATCH($A187,'Position Database'!$A:$A,0)),"")</f>
        <v/>
      </c>
      <c r="C187" s="50" t="str">
        <f>IFERROR(INDEX('Position Database'!C:C,MATCH($A187,'Position Database'!$A:$A,0)),"")</f>
        <v/>
      </c>
      <c r="D187" s="41" t="str">
        <f>IFERROR(INDEX('Position Database'!D:D,MATCH($A187,'Position Database'!$A:$A,0)),"")</f>
        <v/>
      </c>
      <c r="E187" s="54"/>
      <c r="L187" s="52" t="str">
        <f t="shared" si="15"/>
        <v/>
      </c>
      <c r="M187" s="41" t="str">
        <f t="shared" ca="1" si="16"/>
        <v/>
      </c>
      <c r="N187" s="52" t="str">
        <f t="shared" si="17"/>
        <v/>
      </c>
      <c r="O187" s="55"/>
      <c r="Q187" t="str">
        <f ca="1">IF(AND($A187&lt;&gt;"",ISNUMBER(M187)),COUNTIF($M$4:$M$200,"&gt;"&amp;M187)+COUNTIF($M$4:M187,M187),"")</f>
        <v/>
      </c>
    </row>
    <row r="188" spans="2:17" x14ac:dyDescent="0.3">
      <c r="B188" s="49" t="str">
        <f>IFERROR(INDEX('Position Database'!B:B,MATCH($A188,'Position Database'!$A:$A,0)),"")</f>
        <v/>
      </c>
      <c r="C188" s="50" t="str">
        <f>IFERROR(INDEX('Position Database'!C:C,MATCH($A188,'Position Database'!$A:$A,0)),"")</f>
        <v/>
      </c>
      <c r="D188" s="41" t="str">
        <f>IFERROR(INDEX('Position Database'!D:D,MATCH($A188,'Position Database'!$A:$A,0)),"")</f>
        <v/>
      </c>
      <c r="E188" s="54"/>
      <c r="L188" s="52" t="str">
        <f t="shared" si="15"/>
        <v/>
      </c>
      <c r="M188" s="41" t="str">
        <f t="shared" ca="1" si="16"/>
        <v/>
      </c>
      <c r="N188" s="52" t="str">
        <f t="shared" si="17"/>
        <v/>
      </c>
      <c r="O188" s="55"/>
      <c r="Q188" t="str">
        <f ca="1">IF(AND($A188&lt;&gt;"",ISNUMBER(M188)),COUNTIF($M$4:$M$200,"&gt;"&amp;M188)+COUNTIF($M$4:M188,M188),"")</f>
        <v/>
      </c>
    </row>
    <row r="189" spans="2:17" x14ac:dyDescent="0.3">
      <c r="B189" s="49" t="str">
        <f>IFERROR(INDEX('Position Database'!B:B,MATCH($A189,'Position Database'!$A:$A,0)),"")</f>
        <v/>
      </c>
      <c r="C189" s="50" t="str">
        <f>IFERROR(INDEX('Position Database'!C:C,MATCH($A189,'Position Database'!$A:$A,0)),"")</f>
        <v/>
      </c>
      <c r="D189" s="41" t="str">
        <f>IFERROR(INDEX('Position Database'!D:D,MATCH($A189,'Position Database'!$A:$A,0)),"")</f>
        <v/>
      </c>
      <c r="E189" s="54"/>
      <c r="L189" s="52" t="str">
        <f t="shared" si="15"/>
        <v/>
      </c>
      <c r="M189" s="41" t="str">
        <f t="shared" ca="1" si="16"/>
        <v/>
      </c>
      <c r="N189" s="52" t="str">
        <f t="shared" si="17"/>
        <v/>
      </c>
      <c r="O189" s="55"/>
      <c r="Q189" t="str">
        <f ca="1">IF(AND($A189&lt;&gt;"",ISNUMBER(M189)),COUNTIF($M$4:$M$200,"&gt;"&amp;M189)+COUNTIF($M$4:M189,M189),"")</f>
        <v/>
      </c>
    </row>
    <row r="190" spans="2:17" x14ac:dyDescent="0.3">
      <c r="B190" s="49" t="str">
        <f>IFERROR(INDEX('Position Database'!B:B,MATCH($A190,'Position Database'!$A:$A,0)),"")</f>
        <v/>
      </c>
      <c r="C190" s="50" t="str">
        <f>IFERROR(INDEX('Position Database'!C:C,MATCH($A190,'Position Database'!$A:$A,0)),"")</f>
        <v/>
      </c>
      <c r="D190" s="41" t="str">
        <f>IFERROR(INDEX('Position Database'!D:D,MATCH($A190,'Position Database'!$A:$A,0)),"")</f>
        <v/>
      </c>
      <c r="E190" s="54"/>
      <c r="L190" s="52" t="str">
        <f t="shared" si="15"/>
        <v/>
      </c>
      <c r="M190" s="41" t="str">
        <f t="shared" ca="1" si="16"/>
        <v/>
      </c>
      <c r="N190" s="52" t="str">
        <f t="shared" si="17"/>
        <v/>
      </c>
      <c r="O190" s="55"/>
      <c r="Q190" t="str">
        <f ca="1">IF(AND($A190&lt;&gt;"",ISNUMBER(M190)),COUNTIF($M$4:$M$200,"&gt;"&amp;M190)+COUNTIF($M$4:M190,M190),"")</f>
        <v/>
      </c>
    </row>
    <row r="191" spans="2:17" x14ac:dyDescent="0.3">
      <c r="B191" s="49" t="str">
        <f>IFERROR(INDEX('Position Database'!B:B,MATCH($A191,'Position Database'!$A:$A,0)),"")</f>
        <v/>
      </c>
      <c r="C191" s="50" t="str">
        <f>IFERROR(INDEX('Position Database'!C:C,MATCH($A191,'Position Database'!$A:$A,0)),"")</f>
        <v/>
      </c>
      <c r="D191" s="41" t="str">
        <f>IFERROR(INDEX('Position Database'!D:D,MATCH($A191,'Position Database'!$A:$A,0)),"")</f>
        <v/>
      </c>
      <c r="E191" s="54"/>
      <c r="L191" s="52" t="str">
        <f t="shared" si="15"/>
        <v/>
      </c>
      <c r="M191" s="41" t="str">
        <f t="shared" ca="1" si="16"/>
        <v/>
      </c>
      <c r="N191" s="52" t="str">
        <f t="shared" si="17"/>
        <v/>
      </c>
      <c r="O191" s="55"/>
      <c r="Q191" t="str">
        <f ca="1">IF(AND($A191&lt;&gt;"",ISNUMBER(M191)),COUNTIF($M$4:$M$200,"&gt;"&amp;M191)+COUNTIF($M$4:M191,M191),"")</f>
        <v/>
      </c>
    </row>
    <row r="192" spans="2:17" x14ac:dyDescent="0.3">
      <c r="B192" s="49" t="str">
        <f>IFERROR(INDEX('Position Database'!B:B,MATCH($A192,'Position Database'!$A:$A,0)),"")</f>
        <v/>
      </c>
      <c r="C192" s="50" t="str">
        <f>IFERROR(INDEX('Position Database'!C:C,MATCH($A192,'Position Database'!$A:$A,0)),"")</f>
        <v/>
      </c>
      <c r="D192" s="41" t="str">
        <f>IFERROR(INDEX('Position Database'!D:D,MATCH($A192,'Position Database'!$A:$A,0)),"")</f>
        <v/>
      </c>
      <c r="E192" s="54"/>
      <c r="L192" s="52" t="str">
        <f t="shared" si="15"/>
        <v/>
      </c>
      <c r="M192" s="41" t="str">
        <f t="shared" ca="1" si="16"/>
        <v/>
      </c>
      <c r="N192" s="52" t="str">
        <f t="shared" si="17"/>
        <v/>
      </c>
      <c r="O192" s="55"/>
      <c r="Q192" t="str">
        <f ca="1">IF(AND($A192&lt;&gt;"",ISNUMBER(M192)),COUNTIF($M$4:$M$200,"&gt;"&amp;M192)+COUNTIF($M$4:M192,M192),"")</f>
        <v/>
      </c>
    </row>
    <row r="193" spans="2:17" x14ac:dyDescent="0.3">
      <c r="B193" s="49" t="str">
        <f>IFERROR(INDEX('Position Database'!B:B,MATCH($A193,'Position Database'!$A:$A,0)),"")</f>
        <v/>
      </c>
      <c r="C193" s="50" t="str">
        <f>IFERROR(INDEX('Position Database'!C:C,MATCH($A193,'Position Database'!$A:$A,0)),"")</f>
        <v/>
      </c>
      <c r="D193" s="41" t="str">
        <f>IFERROR(INDEX('Position Database'!D:D,MATCH($A193,'Position Database'!$A:$A,0)),"")</f>
        <v/>
      </c>
      <c r="E193" s="54"/>
      <c r="L193" s="52" t="str">
        <f t="shared" si="15"/>
        <v/>
      </c>
      <c r="M193" s="41" t="str">
        <f t="shared" ca="1" si="16"/>
        <v/>
      </c>
      <c r="N193" s="52" t="str">
        <f t="shared" si="17"/>
        <v/>
      </c>
      <c r="O193" s="55"/>
      <c r="Q193" t="str">
        <f ca="1">IF(AND($A193&lt;&gt;"",ISNUMBER(M193)),COUNTIF($M$4:$M$200,"&gt;"&amp;M193)+COUNTIF($M$4:M193,M193),"")</f>
        <v/>
      </c>
    </row>
    <row r="194" spans="2:17" x14ac:dyDescent="0.3">
      <c r="B194" s="49" t="str">
        <f>IFERROR(INDEX('Position Database'!B:B,MATCH($A194,'Position Database'!$A:$A,0)),"")</f>
        <v/>
      </c>
      <c r="C194" s="50" t="str">
        <f>IFERROR(INDEX('Position Database'!C:C,MATCH($A194,'Position Database'!$A:$A,0)),"")</f>
        <v/>
      </c>
      <c r="D194" s="41" t="str">
        <f>IFERROR(INDEX('Position Database'!D:D,MATCH($A194,'Position Database'!$A:$A,0)),"")</f>
        <v/>
      </c>
      <c r="E194" s="54"/>
      <c r="L194" s="52" t="str">
        <f t="shared" si="15"/>
        <v/>
      </c>
      <c r="M194" s="41" t="str">
        <f t="shared" ca="1" si="16"/>
        <v/>
      </c>
      <c r="N194" s="52" t="str">
        <f t="shared" si="17"/>
        <v/>
      </c>
      <c r="O194" s="55"/>
      <c r="Q194" t="str">
        <f ca="1">IF(AND($A194&lt;&gt;"",ISNUMBER(M194)),COUNTIF($M$4:$M$200,"&gt;"&amp;M194)+COUNTIF($M$4:M194,M194),"")</f>
        <v/>
      </c>
    </row>
    <row r="195" spans="2:17" x14ac:dyDescent="0.3">
      <c r="B195" s="49" t="str">
        <f>IFERROR(INDEX('Position Database'!B:B,MATCH($A195,'Position Database'!$A:$A,0)),"")</f>
        <v/>
      </c>
      <c r="C195" s="50" t="str">
        <f>IFERROR(INDEX('Position Database'!C:C,MATCH($A195,'Position Database'!$A:$A,0)),"")</f>
        <v/>
      </c>
      <c r="D195" s="41" t="str">
        <f>IFERROR(INDEX('Position Database'!D:D,MATCH($A195,'Position Database'!$A:$A,0)),"")</f>
        <v/>
      </c>
      <c r="E195" s="54"/>
      <c r="L195" s="52" t="str">
        <f t="shared" si="15"/>
        <v/>
      </c>
      <c r="M195" s="41" t="str">
        <f t="shared" ca="1" si="16"/>
        <v/>
      </c>
      <c r="N195" s="52" t="str">
        <f t="shared" si="17"/>
        <v/>
      </c>
      <c r="O195" s="55"/>
      <c r="Q195" t="str">
        <f ca="1">IF(AND($A195&lt;&gt;"",ISNUMBER(M195)),COUNTIF($M$4:$M$200,"&gt;"&amp;M195)+COUNTIF($M$4:M195,M195),"")</f>
        <v/>
      </c>
    </row>
    <row r="196" spans="2:17" x14ac:dyDescent="0.3">
      <c r="B196" s="49" t="str">
        <f>IFERROR(INDEX('Position Database'!B:B,MATCH($A196,'Position Database'!$A:$A,0)),"")</f>
        <v/>
      </c>
      <c r="C196" s="50" t="str">
        <f>IFERROR(INDEX('Position Database'!C:C,MATCH($A196,'Position Database'!$A:$A,0)),"")</f>
        <v/>
      </c>
      <c r="D196" s="41" t="str">
        <f>IFERROR(INDEX('Position Database'!D:D,MATCH($A196,'Position Database'!$A:$A,0)),"")</f>
        <v/>
      </c>
      <c r="E196" s="54"/>
      <c r="L196" s="52" t="str">
        <f t="shared" ref="L196:L227" si="18">IF(COUNT(E196,I196,J196,K196)=0,"",MAX(E196,I196,J196,K196))</f>
        <v/>
      </c>
      <c r="M196" s="41" t="str">
        <f t="shared" ref="M196:M227" ca="1" si="19">IF(OR($A196="",NOT(ISNUMBER(L196))),"",IF(OR(O196="Positive Reply",O196="Accepted",O196="Rejected"),"",TODAY()-L196))</f>
        <v/>
      </c>
      <c r="N196" s="52" t="str">
        <f t="shared" ref="N196:N227" si="20">IF(OR($A196="",NOT(ISNUMBER(L196))),"",IF(OR(O196="Positive Reply",O196="Accepted",O196="Rejected"),"",L196+14))</f>
        <v/>
      </c>
      <c r="O196" s="55"/>
      <c r="Q196" t="str">
        <f ca="1">IF(AND($A196&lt;&gt;"",ISNUMBER(M196)),COUNTIF($M$4:$M$200,"&gt;"&amp;M196)+COUNTIF($M$4:M196,M196),"")</f>
        <v/>
      </c>
    </row>
    <row r="197" spans="2:17" x14ac:dyDescent="0.3">
      <c r="B197" s="49" t="str">
        <f>IFERROR(INDEX('Position Database'!B:B,MATCH($A197,'Position Database'!$A:$A,0)),"")</f>
        <v/>
      </c>
      <c r="C197" s="50" t="str">
        <f>IFERROR(INDEX('Position Database'!C:C,MATCH($A197,'Position Database'!$A:$A,0)),"")</f>
        <v/>
      </c>
      <c r="D197" s="41" t="str">
        <f>IFERROR(INDEX('Position Database'!D:D,MATCH($A197,'Position Database'!$A:$A,0)),"")</f>
        <v/>
      </c>
      <c r="E197" s="54"/>
      <c r="L197" s="52" t="str">
        <f t="shared" si="18"/>
        <v/>
      </c>
      <c r="M197" s="41" t="str">
        <f t="shared" ca="1" si="19"/>
        <v/>
      </c>
      <c r="N197" s="52" t="str">
        <f t="shared" si="20"/>
        <v/>
      </c>
      <c r="O197" s="55"/>
      <c r="Q197" t="str">
        <f ca="1">IF(AND($A197&lt;&gt;"",ISNUMBER(M197)),COUNTIF($M$4:$M$200,"&gt;"&amp;M197)+COUNTIF($M$4:M197,M197),"")</f>
        <v/>
      </c>
    </row>
    <row r="198" spans="2:17" x14ac:dyDescent="0.3">
      <c r="B198" s="49" t="str">
        <f>IFERROR(INDEX('Position Database'!B:B,MATCH($A198,'Position Database'!$A:$A,0)),"")</f>
        <v/>
      </c>
      <c r="C198" s="50" t="str">
        <f>IFERROR(INDEX('Position Database'!C:C,MATCH($A198,'Position Database'!$A:$A,0)),"")</f>
        <v/>
      </c>
      <c r="D198" s="41" t="str">
        <f>IFERROR(INDEX('Position Database'!D:D,MATCH($A198,'Position Database'!$A:$A,0)),"")</f>
        <v/>
      </c>
      <c r="E198" s="54"/>
      <c r="L198" s="52" t="str">
        <f t="shared" si="18"/>
        <v/>
      </c>
      <c r="M198" s="41" t="str">
        <f t="shared" ca="1" si="19"/>
        <v/>
      </c>
      <c r="N198" s="52" t="str">
        <f t="shared" si="20"/>
        <v/>
      </c>
      <c r="O198" s="55"/>
      <c r="Q198" t="str">
        <f ca="1">IF(AND($A198&lt;&gt;"",ISNUMBER(M198)),COUNTIF($M$4:$M$200,"&gt;"&amp;M198)+COUNTIF($M$4:M198,M198),"")</f>
        <v/>
      </c>
    </row>
    <row r="199" spans="2:17" x14ac:dyDescent="0.3">
      <c r="B199" s="49" t="str">
        <f>IFERROR(INDEX('Position Database'!B:B,MATCH($A199,'Position Database'!$A:$A,0)),"")</f>
        <v/>
      </c>
      <c r="C199" s="50" t="str">
        <f>IFERROR(INDEX('Position Database'!C:C,MATCH($A199,'Position Database'!$A:$A,0)),"")</f>
        <v/>
      </c>
      <c r="D199" s="41" t="str">
        <f>IFERROR(INDEX('Position Database'!D:D,MATCH($A199,'Position Database'!$A:$A,0)),"")</f>
        <v/>
      </c>
      <c r="E199" s="54"/>
      <c r="L199" s="52" t="str">
        <f t="shared" si="18"/>
        <v/>
      </c>
      <c r="M199" s="41" t="str">
        <f t="shared" ca="1" si="19"/>
        <v/>
      </c>
      <c r="N199" s="52" t="str">
        <f t="shared" si="20"/>
        <v/>
      </c>
      <c r="O199" s="55"/>
      <c r="Q199" t="str">
        <f ca="1">IF(AND($A199&lt;&gt;"",ISNUMBER(M199)),COUNTIF($M$4:$M$200,"&gt;"&amp;M199)+COUNTIF($M$4:M199,M199),"")</f>
        <v/>
      </c>
    </row>
    <row r="200" spans="2:17" x14ac:dyDescent="0.3">
      <c r="B200" s="49" t="str">
        <f>IFERROR(INDEX('Position Database'!B:B,MATCH($A200,'Position Database'!$A:$A,0)),"")</f>
        <v/>
      </c>
      <c r="C200" s="50" t="str">
        <f>IFERROR(INDEX('Position Database'!C:C,MATCH($A200,'Position Database'!$A:$A,0)),"")</f>
        <v/>
      </c>
      <c r="D200" s="41" t="str">
        <f>IFERROR(INDEX('Position Database'!D:D,MATCH($A200,'Position Database'!$A:$A,0)),"")</f>
        <v/>
      </c>
      <c r="E200" s="54"/>
      <c r="L200" s="52" t="str">
        <f t="shared" si="18"/>
        <v/>
      </c>
      <c r="M200" s="41" t="str">
        <f t="shared" ca="1" si="19"/>
        <v/>
      </c>
      <c r="N200" s="52" t="str">
        <f t="shared" si="20"/>
        <v/>
      </c>
      <c r="O200" s="55"/>
      <c r="Q200" t="str">
        <f ca="1">IF(AND($A200&lt;&gt;"",ISNUMBER(M200)),COUNTIF($M$4:$M$200,"&gt;"&amp;M200)+COUNTIF($M$4:M200,M200),"")</f>
        <v/>
      </c>
    </row>
  </sheetData>
  <mergeCells count="3">
    <mergeCell ref="A1:O1"/>
    <mergeCell ref="A2:M2"/>
    <mergeCell ref="N2:O2"/>
  </mergeCells>
  <conditionalFormatting sqref="M4:M200">
    <cfRule type="cellIs" dxfId="7" priority="1" operator="greaterThan">
      <formula>14</formula>
    </cfRule>
    <cfRule type="cellIs" dxfId="6" priority="2" operator="between">
      <formula>7</formula>
      <formula>14</formula>
    </cfRule>
  </conditionalFormatting>
  <conditionalFormatting sqref="A4:O200">
    <cfRule type="expression" dxfId="5" priority="3">
      <formula>AND(ISNUMBER($M4),$M4&gt;14)</formula>
    </cfRule>
  </conditionalFormatting>
  <dataValidations count="2">
    <dataValidation type="list" allowBlank="1" sqref="O4:O200" xr:uid="{00000000-0002-0000-0200-000000000000}">
      <formula1>"Sent,No Reply,Positive Reply,Neutral Reply,Rejected,Interview Invitation,Accepted"</formula1>
    </dataValidation>
    <dataValidation type="list" allowBlank="1" sqref="F4:F200" xr:uid="{00000000-0002-0000-0200-000001000000}">
      <formula1>"Template A,Template B,Template C,Template D,Template E,Custom"</formula1>
    </dataValidation>
  </dataValidations>
  <hyperlinks>
    <hyperlink ref="N2" location="'Dashboard'!A1" display="◀ Back to Dashboard" xr:uid="{00000000-0004-0000-0200-000000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2000000}">
          <x14:formula1>
            <xm:f>'Position Database'!$A$4:$A$200</xm:f>
          </x14:formula1>
          <xm:sqref>A4:A200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3E90"/>
  </sheetPr>
  <dimension ref="A1:I200"/>
  <sheetViews>
    <sheetView showGridLines="0" workbookViewId="0">
      <pane ySplit="3" topLeftCell="A4" activePane="bottomLeft" state="frozen"/>
      <selection pane="bottomLeft"/>
    </sheetView>
  </sheetViews>
  <sheetFormatPr defaultRowHeight="14.4" x14ac:dyDescent="0.3"/>
  <cols>
    <col min="1" max="1" width="6" customWidth="1"/>
    <col min="2" max="2" width="42" customWidth="1"/>
    <col min="3" max="3" width="26" customWidth="1"/>
    <col min="4" max="4" width="13" customWidth="1"/>
    <col min="5" max="5" width="19" customWidth="1"/>
    <col min="6" max="6" width="48" customWidth="1"/>
    <col min="7" max="7" width="13" customWidth="1"/>
    <col min="8" max="8" width="20" customWidth="1"/>
    <col min="9" max="9" width="36" customWidth="1"/>
  </cols>
  <sheetData>
    <row r="1" spans="1:9" ht="34.049999999999997" customHeight="1" x14ac:dyDescent="0.3">
      <c r="A1" s="78" t="s">
        <v>198</v>
      </c>
      <c r="B1" s="69"/>
      <c r="C1" s="69"/>
      <c r="D1" s="69"/>
      <c r="E1" s="69"/>
      <c r="F1" s="69"/>
      <c r="G1" s="69"/>
      <c r="H1" s="69"/>
      <c r="I1" s="69"/>
    </row>
    <row r="2" spans="1:9" ht="19.95" customHeight="1" x14ac:dyDescent="0.3">
      <c r="A2" s="79" t="s">
        <v>199</v>
      </c>
      <c r="B2" s="69"/>
      <c r="C2" s="69"/>
      <c r="D2" s="69"/>
      <c r="E2" s="69"/>
      <c r="F2" s="69"/>
      <c r="G2" s="69"/>
      <c r="H2" s="80" t="s">
        <v>63</v>
      </c>
      <c r="I2" s="69"/>
    </row>
    <row r="3" spans="1:9" ht="34.049999999999997" customHeight="1" x14ac:dyDescent="0.3">
      <c r="A3" s="30" t="s">
        <v>64</v>
      </c>
      <c r="B3" s="30" t="s">
        <v>56</v>
      </c>
      <c r="C3" s="30" t="s">
        <v>57</v>
      </c>
      <c r="D3" s="48" t="s">
        <v>200</v>
      </c>
      <c r="E3" s="31" t="s">
        <v>201</v>
      </c>
      <c r="F3" s="30" t="s">
        <v>202</v>
      </c>
      <c r="G3" s="32" t="s">
        <v>203</v>
      </c>
      <c r="H3" s="56" t="s">
        <v>204</v>
      </c>
      <c r="I3" s="30" t="s">
        <v>205</v>
      </c>
    </row>
    <row r="4" spans="1:9" ht="30" customHeight="1" x14ac:dyDescent="0.3">
      <c r="A4" s="34">
        <v>1</v>
      </c>
      <c r="B4" s="49" t="str">
        <f>IFERROR(INDEX('Position Database'!B:B,MATCH($A4,'Position Database'!$A:$A,0)),"")</f>
        <v>Post Doc: Learning Interactions in Collective Cell Migration</v>
      </c>
      <c r="C4" s="50" t="str">
        <f>IFERROR(INDEX('Position Database'!C:C,MATCH($A4,'Position Database'!$A:$A,0)),"")</f>
        <v>Vrije Universiteit Amsterdam</v>
      </c>
      <c r="D4" s="57">
        <v>46273</v>
      </c>
      <c r="E4" s="37" t="s">
        <v>39</v>
      </c>
      <c r="F4" s="39" t="s">
        <v>206</v>
      </c>
      <c r="G4" s="58">
        <v>46287</v>
      </c>
      <c r="H4" s="59" t="s">
        <v>207</v>
      </c>
      <c r="I4" s="39" t="s">
        <v>208</v>
      </c>
    </row>
    <row r="5" spans="1:9" ht="30" customHeight="1" x14ac:dyDescent="0.3">
      <c r="A5" s="34">
        <v>4</v>
      </c>
      <c r="B5" s="49" t="str">
        <f>IFERROR(INDEX('Position Database'!B:B,MATCH($A5,'Position Database'!$A:$A,0)),"")</f>
        <v>PhD Candidate: Multi-Methods Project on Negation Across Languages</v>
      </c>
      <c r="C5" s="50" t="str">
        <f>IFERROR(INDEX('Position Database'!C:C,MATCH($A5,'Position Database'!$A:$A,0)),"")</f>
        <v>University of Amsterdam</v>
      </c>
      <c r="D5" s="57">
        <v>46267</v>
      </c>
      <c r="E5" s="37" t="s">
        <v>40</v>
      </c>
      <c r="F5" s="39" t="s">
        <v>209</v>
      </c>
      <c r="G5" s="58"/>
      <c r="H5" s="59" t="s">
        <v>210</v>
      </c>
      <c r="I5" s="39" t="s">
        <v>211</v>
      </c>
    </row>
    <row r="6" spans="1:9" ht="30" customHeight="1" x14ac:dyDescent="0.3">
      <c r="A6" s="34">
        <v>5</v>
      </c>
      <c r="B6" s="49" t="str">
        <f>IFERROR(INDEX('Position Database'!B:B,MATCH($A6,'Position Database'!$A:$A,0)),"")</f>
        <v>PhD Position: Beyond the Odds - Pathways to Gambling-Related Harm</v>
      </c>
      <c r="C6" s="50" t="str">
        <f>IFERROR(INDEX('Position Database'!C:C,MATCH($A6,'Position Database'!$A:$A,0)),"")</f>
        <v>Radboud University</v>
      </c>
      <c r="D6" s="57">
        <v>46279</v>
      </c>
      <c r="E6" s="37" t="s">
        <v>41</v>
      </c>
      <c r="F6" s="39" t="s">
        <v>212</v>
      </c>
      <c r="G6" s="58"/>
      <c r="H6" s="59" t="s">
        <v>213</v>
      </c>
      <c r="I6" s="39" t="s">
        <v>214</v>
      </c>
    </row>
    <row r="7" spans="1:9" ht="30" customHeight="1" x14ac:dyDescent="0.3">
      <c r="A7" s="34">
        <v>6</v>
      </c>
      <c r="B7" s="49" t="str">
        <f>IFERROR(INDEX('Position Database'!B:B,MATCH($A7,'Position Database'!$A:$A,0)),"")</f>
        <v>PhD Position in Time-Reflection of Subwavelength THz Waves</v>
      </c>
      <c r="C7" s="50" t="str">
        <f>IFERROR(INDEX('Position Database'!C:C,MATCH($A7,'Position Database'!$A:$A,0)),"")</f>
        <v>ETH Zurich</v>
      </c>
      <c r="D7" s="57">
        <v>46285</v>
      </c>
      <c r="E7" s="37" t="s">
        <v>42</v>
      </c>
      <c r="F7" s="39" t="s">
        <v>215</v>
      </c>
      <c r="G7" s="58">
        <v>46298</v>
      </c>
      <c r="H7" s="59" t="s">
        <v>216</v>
      </c>
      <c r="I7" s="39" t="s">
        <v>217</v>
      </c>
    </row>
    <row r="8" spans="1:9" ht="30" customHeight="1" x14ac:dyDescent="0.3">
      <c r="A8" s="34">
        <v>9</v>
      </c>
      <c r="B8" s="49" t="str">
        <f>IFERROR(INDEX('Position Database'!B:B,MATCH($A8,'Position Database'!$A:$A,0)),"")</f>
        <v>Two Postdoctoral Positions in Mitochondrial Cell Biology</v>
      </c>
      <c r="C8" s="50" t="str">
        <f>IFERROR(INDEX('Position Database'!C:C,MATCH($A8,'Position Database'!$A:$A,0)),"")</f>
        <v>Institut Imagine</v>
      </c>
      <c r="D8" s="57">
        <v>46281</v>
      </c>
      <c r="E8" s="37" t="s">
        <v>39</v>
      </c>
      <c r="F8" s="39" t="s">
        <v>218</v>
      </c>
      <c r="G8" s="58"/>
      <c r="H8" s="59" t="s">
        <v>207</v>
      </c>
      <c r="I8" s="39" t="s">
        <v>219</v>
      </c>
    </row>
    <row r="9" spans="1:9" ht="30" customHeight="1" x14ac:dyDescent="0.3">
      <c r="A9" s="34">
        <v>10</v>
      </c>
      <c r="B9" s="49" t="str">
        <f>IFERROR(INDEX('Position Database'!B:B,MATCH($A9,'Position Database'!$A:$A,0)),"")</f>
        <v>Doctoral Student in Environmental Law Specialising in Nuclear Power</v>
      </c>
      <c r="C9" s="50" t="str">
        <f>IFERROR(INDEX('Position Database'!C:C,MATCH($A9,'Position Database'!$A:$A,0)),"")</f>
        <v>Uppsala University</v>
      </c>
      <c r="D9" s="57">
        <v>46264</v>
      </c>
      <c r="E9" s="37" t="s">
        <v>43</v>
      </c>
      <c r="F9" s="39" t="s">
        <v>220</v>
      </c>
      <c r="G9" s="58">
        <v>46270</v>
      </c>
      <c r="H9" s="59" t="s">
        <v>43</v>
      </c>
      <c r="I9" s="39" t="s">
        <v>221</v>
      </c>
    </row>
    <row r="10" spans="1:9" ht="30" customHeight="1" x14ac:dyDescent="0.3">
      <c r="A10" s="34">
        <v>13</v>
      </c>
      <c r="B10" s="49" t="str">
        <f>IFERROR(INDEX('Position Database'!B:B,MATCH($A10,'Position Database'!$A:$A,0)),"")</f>
        <v>Postdoc: Multiphysics Modelling of Laser-Regolith Interaction (Moon)</v>
      </c>
      <c r="C10" s="50" t="str">
        <f>IFERROR(INDEX('Position Database'!C:C,MATCH($A10,'Position Database'!$A:$A,0)),"")</f>
        <v>Technical University of Denmark</v>
      </c>
      <c r="D10" s="57">
        <v>46284</v>
      </c>
      <c r="E10" s="37" t="s">
        <v>40</v>
      </c>
      <c r="F10" s="39" t="s">
        <v>222</v>
      </c>
      <c r="G10" s="58"/>
      <c r="H10" s="59" t="s">
        <v>210</v>
      </c>
      <c r="I10" s="39" t="s">
        <v>223</v>
      </c>
    </row>
    <row r="11" spans="1:9" ht="30" customHeight="1" x14ac:dyDescent="0.3">
      <c r="A11" s="34">
        <v>16</v>
      </c>
      <c r="B11" s="49" t="str">
        <f>IFERROR(INDEX('Position Database'!B:B,MATCH($A11,'Position Database'!$A:$A,0)),"")</f>
        <v>Postdoc in Synthesis and Crystal Growth of Molecular Conductors</v>
      </c>
      <c r="C11" s="50" t="str">
        <f>IFERROR(INDEX('Position Database'!C:C,MATCH($A11,'Position Database'!$A:$A,0)),"")</f>
        <v>Chalmers University of Technology</v>
      </c>
      <c r="D11" s="57">
        <v>46286</v>
      </c>
      <c r="E11" s="37" t="s">
        <v>42</v>
      </c>
      <c r="F11" s="39" t="s">
        <v>224</v>
      </c>
      <c r="G11" s="58">
        <v>46303</v>
      </c>
      <c r="H11" s="59" t="s">
        <v>216</v>
      </c>
      <c r="I11" s="39" t="s">
        <v>225</v>
      </c>
    </row>
    <row r="12" spans="1:9" ht="30" customHeight="1" x14ac:dyDescent="0.3">
      <c r="A12" s="34">
        <v>17</v>
      </c>
      <c r="B12" s="49" t="str">
        <f>IFERROR(INDEX('Position Database'!B:B,MATCH($A12,'Position Database'!$A:$A,0)),"")</f>
        <v>PhD Candidate in Children's Media in English (CLEAR Group)</v>
      </c>
      <c r="C12" s="50" t="str">
        <f>IFERROR(INDEX('Position Database'!C:C,MATCH($A12,'Position Database'!$A:$A,0)),"")</f>
        <v>NTNU</v>
      </c>
      <c r="D12" s="57">
        <v>46270</v>
      </c>
      <c r="E12" s="37" t="s">
        <v>41</v>
      </c>
      <c r="F12" s="39" t="s">
        <v>226</v>
      </c>
      <c r="G12" s="58"/>
      <c r="H12" s="59" t="s">
        <v>213</v>
      </c>
      <c r="I12" s="39" t="s">
        <v>214</v>
      </c>
    </row>
    <row r="13" spans="1:9" ht="30" customHeight="1" x14ac:dyDescent="0.3">
      <c r="A13" s="34">
        <v>20</v>
      </c>
      <c r="B13" s="49" t="str">
        <f>IFERROR(INDEX('Position Database'!B:B,MATCH($A13,'Position Database'!$A:$A,0)),"")</f>
        <v>Postdoctoral Fellows in Proteomics: Neurodevelopment and Cancer</v>
      </c>
      <c r="C13" s="50" t="str">
        <f>IFERROR(INDEX('Position Database'!C:C,MATCH($A13,'Position Database'!$A:$A,0)),"")</f>
        <v>University of Helsinki</v>
      </c>
      <c r="D13" s="57">
        <v>46280</v>
      </c>
      <c r="E13" s="37" t="s">
        <v>40</v>
      </c>
      <c r="F13" s="39" t="s">
        <v>227</v>
      </c>
      <c r="G13" s="58"/>
      <c r="H13" s="59" t="s">
        <v>210</v>
      </c>
      <c r="I13" s="39" t="s">
        <v>228</v>
      </c>
    </row>
    <row r="14" spans="1:9" x14ac:dyDescent="0.3">
      <c r="B14" s="49" t="str">
        <f>IFERROR(INDEX('Position Database'!B:B,MATCH($A14,'Position Database'!$A:$A,0)),"")</f>
        <v/>
      </c>
      <c r="C14" s="50" t="str">
        <f>IFERROR(INDEX('Position Database'!C:C,MATCH($A14,'Position Database'!$A:$A,0)),"")</f>
        <v/>
      </c>
      <c r="D14" s="55"/>
      <c r="E14" s="44"/>
      <c r="G14" s="45"/>
      <c r="H14" s="60"/>
    </row>
    <row r="15" spans="1:9" x14ac:dyDescent="0.3">
      <c r="B15" s="49" t="str">
        <f>IFERROR(INDEX('Position Database'!B:B,MATCH($A15,'Position Database'!$A:$A,0)),"")</f>
        <v/>
      </c>
      <c r="C15" s="50" t="str">
        <f>IFERROR(INDEX('Position Database'!C:C,MATCH($A15,'Position Database'!$A:$A,0)),"")</f>
        <v/>
      </c>
      <c r="D15" s="55"/>
      <c r="E15" s="44"/>
      <c r="G15" s="45"/>
      <c r="H15" s="60"/>
    </row>
    <row r="16" spans="1:9" x14ac:dyDescent="0.3">
      <c r="B16" s="49" t="str">
        <f>IFERROR(INDEX('Position Database'!B:B,MATCH($A16,'Position Database'!$A:$A,0)),"")</f>
        <v/>
      </c>
      <c r="C16" s="50" t="str">
        <f>IFERROR(INDEX('Position Database'!C:C,MATCH($A16,'Position Database'!$A:$A,0)),"")</f>
        <v/>
      </c>
      <c r="D16" s="55"/>
      <c r="E16" s="44"/>
      <c r="G16" s="45"/>
      <c r="H16" s="60"/>
    </row>
    <row r="17" spans="2:8" x14ac:dyDescent="0.3">
      <c r="B17" s="49" t="str">
        <f>IFERROR(INDEX('Position Database'!B:B,MATCH($A17,'Position Database'!$A:$A,0)),"")</f>
        <v/>
      </c>
      <c r="C17" s="50" t="str">
        <f>IFERROR(INDEX('Position Database'!C:C,MATCH($A17,'Position Database'!$A:$A,0)),"")</f>
        <v/>
      </c>
      <c r="D17" s="55"/>
      <c r="E17" s="44"/>
      <c r="G17" s="45"/>
      <c r="H17" s="60"/>
    </row>
    <row r="18" spans="2:8" x14ac:dyDescent="0.3">
      <c r="B18" s="49" t="str">
        <f>IFERROR(INDEX('Position Database'!B:B,MATCH($A18,'Position Database'!$A:$A,0)),"")</f>
        <v/>
      </c>
      <c r="C18" s="50" t="str">
        <f>IFERROR(INDEX('Position Database'!C:C,MATCH($A18,'Position Database'!$A:$A,0)),"")</f>
        <v/>
      </c>
      <c r="D18" s="55"/>
      <c r="E18" s="44"/>
      <c r="G18" s="45"/>
      <c r="H18" s="60"/>
    </row>
    <row r="19" spans="2:8" x14ac:dyDescent="0.3">
      <c r="B19" s="49" t="str">
        <f>IFERROR(INDEX('Position Database'!B:B,MATCH($A19,'Position Database'!$A:$A,0)),"")</f>
        <v/>
      </c>
      <c r="C19" s="50" t="str">
        <f>IFERROR(INDEX('Position Database'!C:C,MATCH($A19,'Position Database'!$A:$A,0)),"")</f>
        <v/>
      </c>
      <c r="D19" s="55"/>
      <c r="E19" s="44"/>
      <c r="G19" s="45"/>
      <c r="H19" s="60"/>
    </row>
    <row r="20" spans="2:8" x14ac:dyDescent="0.3">
      <c r="B20" s="49" t="str">
        <f>IFERROR(INDEX('Position Database'!B:B,MATCH($A20,'Position Database'!$A:$A,0)),"")</f>
        <v/>
      </c>
      <c r="C20" s="50" t="str">
        <f>IFERROR(INDEX('Position Database'!C:C,MATCH($A20,'Position Database'!$A:$A,0)),"")</f>
        <v/>
      </c>
      <c r="D20" s="55"/>
      <c r="E20" s="44"/>
      <c r="G20" s="45"/>
      <c r="H20" s="60"/>
    </row>
    <row r="21" spans="2:8" x14ac:dyDescent="0.3">
      <c r="B21" s="49" t="str">
        <f>IFERROR(INDEX('Position Database'!B:B,MATCH($A21,'Position Database'!$A:$A,0)),"")</f>
        <v/>
      </c>
      <c r="C21" s="50" t="str">
        <f>IFERROR(INDEX('Position Database'!C:C,MATCH($A21,'Position Database'!$A:$A,0)),"")</f>
        <v/>
      </c>
      <c r="D21" s="55"/>
      <c r="E21" s="44"/>
      <c r="G21" s="45"/>
      <c r="H21" s="60"/>
    </row>
    <row r="22" spans="2:8" x14ac:dyDescent="0.3">
      <c r="B22" s="49" t="str">
        <f>IFERROR(INDEX('Position Database'!B:B,MATCH($A22,'Position Database'!$A:$A,0)),"")</f>
        <v/>
      </c>
      <c r="C22" s="50" t="str">
        <f>IFERROR(INDEX('Position Database'!C:C,MATCH($A22,'Position Database'!$A:$A,0)),"")</f>
        <v/>
      </c>
      <c r="D22" s="55"/>
      <c r="E22" s="44"/>
      <c r="G22" s="45"/>
      <c r="H22" s="60"/>
    </row>
    <row r="23" spans="2:8" x14ac:dyDescent="0.3">
      <c r="B23" s="49" t="str">
        <f>IFERROR(INDEX('Position Database'!B:B,MATCH($A23,'Position Database'!$A:$A,0)),"")</f>
        <v/>
      </c>
      <c r="C23" s="50" t="str">
        <f>IFERROR(INDEX('Position Database'!C:C,MATCH($A23,'Position Database'!$A:$A,0)),"")</f>
        <v/>
      </c>
      <c r="D23" s="55"/>
      <c r="E23" s="44"/>
      <c r="G23" s="45"/>
      <c r="H23" s="60"/>
    </row>
    <row r="24" spans="2:8" x14ac:dyDescent="0.3">
      <c r="B24" s="49" t="str">
        <f>IFERROR(INDEX('Position Database'!B:B,MATCH($A24,'Position Database'!$A:$A,0)),"")</f>
        <v/>
      </c>
      <c r="C24" s="50" t="str">
        <f>IFERROR(INDEX('Position Database'!C:C,MATCH($A24,'Position Database'!$A:$A,0)),"")</f>
        <v/>
      </c>
      <c r="D24" s="55"/>
      <c r="E24" s="44"/>
      <c r="G24" s="45"/>
      <c r="H24" s="60"/>
    </row>
    <row r="25" spans="2:8" x14ac:dyDescent="0.3">
      <c r="B25" s="49" t="str">
        <f>IFERROR(INDEX('Position Database'!B:B,MATCH($A25,'Position Database'!$A:$A,0)),"")</f>
        <v/>
      </c>
      <c r="C25" s="50" t="str">
        <f>IFERROR(INDEX('Position Database'!C:C,MATCH($A25,'Position Database'!$A:$A,0)),"")</f>
        <v/>
      </c>
      <c r="D25" s="55"/>
      <c r="E25" s="44"/>
      <c r="G25" s="45"/>
      <c r="H25" s="60"/>
    </row>
    <row r="26" spans="2:8" x14ac:dyDescent="0.3">
      <c r="B26" s="49" t="str">
        <f>IFERROR(INDEX('Position Database'!B:B,MATCH($A26,'Position Database'!$A:$A,0)),"")</f>
        <v/>
      </c>
      <c r="C26" s="50" t="str">
        <f>IFERROR(INDEX('Position Database'!C:C,MATCH($A26,'Position Database'!$A:$A,0)),"")</f>
        <v/>
      </c>
      <c r="D26" s="55"/>
      <c r="E26" s="44"/>
      <c r="G26" s="45"/>
      <c r="H26" s="60"/>
    </row>
    <row r="27" spans="2:8" x14ac:dyDescent="0.3">
      <c r="B27" s="49" t="str">
        <f>IFERROR(INDEX('Position Database'!B:B,MATCH($A27,'Position Database'!$A:$A,0)),"")</f>
        <v/>
      </c>
      <c r="C27" s="50" t="str">
        <f>IFERROR(INDEX('Position Database'!C:C,MATCH($A27,'Position Database'!$A:$A,0)),"")</f>
        <v/>
      </c>
      <c r="D27" s="55"/>
      <c r="E27" s="44"/>
      <c r="G27" s="45"/>
      <c r="H27" s="60"/>
    </row>
    <row r="28" spans="2:8" x14ac:dyDescent="0.3">
      <c r="B28" s="49" t="str">
        <f>IFERROR(INDEX('Position Database'!B:B,MATCH($A28,'Position Database'!$A:$A,0)),"")</f>
        <v/>
      </c>
      <c r="C28" s="50" t="str">
        <f>IFERROR(INDEX('Position Database'!C:C,MATCH($A28,'Position Database'!$A:$A,0)),"")</f>
        <v/>
      </c>
      <c r="D28" s="55"/>
      <c r="E28" s="44"/>
      <c r="G28" s="45"/>
      <c r="H28" s="60"/>
    </row>
    <row r="29" spans="2:8" x14ac:dyDescent="0.3">
      <c r="B29" s="49" t="str">
        <f>IFERROR(INDEX('Position Database'!B:B,MATCH($A29,'Position Database'!$A:$A,0)),"")</f>
        <v/>
      </c>
      <c r="C29" s="50" t="str">
        <f>IFERROR(INDEX('Position Database'!C:C,MATCH($A29,'Position Database'!$A:$A,0)),"")</f>
        <v/>
      </c>
      <c r="D29" s="55"/>
      <c r="E29" s="44"/>
      <c r="G29" s="45"/>
      <c r="H29" s="60"/>
    </row>
    <row r="30" spans="2:8" x14ac:dyDescent="0.3">
      <c r="B30" s="49" t="str">
        <f>IFERROR(INDEX('Position Database'!B:B,MATCH($A30,'Position Database'!$A:$A,0)),"")</f>
        <v/>
      </c>
      <c r="C30" s="50" t="str">
        <f>IFERROR(INDEX('Position Database'!C:C,MATCH($A30,'Position Database'!$A:$A,0)),"")</f>
        <v/>
      </c>
      <c r="D30" s="55"/>
      <c r="E30" s="44"/>
      <c r="G30" s="45"/>
      <c r="H30" s="60"/>
    </row>
    <row r="31" spans="2:8" x14ac:dyDescent="0.3">
      <c r="B31" s="49" t="str">
        <f>IFERROR(INDEX('Position Database'!B:B,MATCH($A31,'Position Database'!$A:$A,0)),"")</f>
        <v/>
      </c>
      <c r="C31" s="50" t="str">
        <f>IFERROR(INDEX('Position Database'!C:C,MATCH($A31,'Position Database'!$A:$A,0)),"")</f>
        <v/>
      </c>
      <c r="D31" s="55"/>
      <c r="E31" s="44"/>
      <c r="G31" s="45"/>
      <c r="H31" s="60"/>
    </row>
    <row r="32" spans="2:8" x14ac:dyDescent="0.3">
      <c r="B32" s="49" t="str">
        <f>IFERROR(INDEX('Position Database'!B:B,MATCH($A32,'Position Database'!$A:$A,0)),"")</f>
        <v/>
      </c>
      <c r="C32" s="50" t="str">
        <f>IFERROR(INDEX('Position Database'!C:C,MATCH($A32,'Position Database'!$A:$A,0)),"")</f>
        <v/>
      </c>
      <c r="D32" s="55"/>
      <c r="E32" s="44"/>
      <c r="G32" s="45"/>
      <c r="H32" s="60"/>
    </row>
    <row r="33" spans="2:8" x14ac:dyDescent="0.3">
      <c r="B33" s="49" t="str">
        <f>IFERROR(INDEX('Position Database'!B:B,MATCH($A33,'Position Database'!$A:$A,0)),"")</f>
        <v/>
      </c>
      <c r="C33" s="50" t="str">
        <f>IFERROR(INDEX('Position Database'!C:C,MATCH($A33,'Position Database'!$A:$A,0)),"")</f>
        <v/>
      </c>
      <c r="D33" s="55"/>
      <c r="E33" s="44"/>
      <c r="G33" s="45"/>
      <c r="H33" s="60"/>
    </row>
    <row r="34" spans="2:8" x14ac:dyDescent="0.3">
      <c r="B34" s="49" t="str">
        <f>IFERROR(INDEX('Position Database'!B:B,MATCH($A34,'Position Database'!$A:$A,0)),"")</f>
        <v/>
      </c>
      <c r="C34" s="50" t="str">
        <f>IFERROR(INDEX('Position Database'!C:C,MATCH($A34,'Position Database'!$A:$A,0)),"")</f>
        <v/>
      </c>
      <c r="D34" s="55"/>
      <c r="E34" s="44"/>
      <c r="G34" s="45"/>
      <c r="H34" s="60"/>
    </row>
    <row r="35" spans="2:8" x14ac:dyDescent="0.3">
      <c r="B35" s="49" t="str">
        <f>IFERROR(INDEX('Position Database'!B:B,MATCH($A35,'Position Database'!$A:$A,0)),"")</f>
        <v/>
      </c>
      <c r="C35" s="50" t="str">
        <f>IFERROR(INDEX('Position Database'!C:C,MATCH($A35,'Position Database'!$A:$A,0)),"")</f>
        <v/>
      </c>
      <c r="D35" s="55"/>
      <c r="E35" s="44"/>
      <c r="G35" s="45"/>
      <c r="H35" s="60"/>
    </row>
    <row r="36" spans="2:8" x14ac:dyDescent="0.3">
      <c r="B36" s="49" t="str">
        <f>IFERROR(INDEX('Position Database'!B:B,MATCH($A36,'Position Database'!$A:$A,0)),"")</f>
        <v/>
      </c>
      <c r="C36" s="50" t="str">
        <f>IFERROR(INDEX('Position Database'!C:C,MATCH($A36,'Position Database'!$A:$A,0)),"")</f>
        <v/>
      </c>
      <c r="D36" s="55"/>
      <c r="E36" s="44"/>
      <c r="G36" s="45"/>
      <c r="H36" s="60"/>
    </row>
    <row r="37" spans="2:8" x14ac:dyDescent="0.3">
      <c r="B37" s="49" t="str">
        <f>IFERROR(INDEX('Position Database'!B:B,MATCH($A37,'Position Database'!$A:$A,0)),"")</f>
        <v/>
      </c>
      <c r="C37" s="50" t="str">
        <f>IFERROR(INDEX('Position Database'!C:C,MATCH($A37,'Position Database'!$A:$A,0)),"")</f>
        <v/>
      </c>
      <c r="D37" s="55"/>
      <c r="E37" s="44"/>
      <c r="G37" s="45"/>
      <c r="H37" s="60"/>
    </row>
    <row r="38" spans="2:8" x14ac:dyDescent="0.3">
      <c r="B38" s="49" t="str">
        <f>IFERROR(INDEX('Position Database'!B:B,MATCH($A38,'Position Database'!$A:$A,0)),"")</f>
        <v/>
      </c>
      <c r="C38" s="50" t="str">
        <f>IFERROR(INDEX('Position Database'!C:C,MATCH($A38,'Position Database'!$A:$A,0)),"")</f>
        <v/>
      </c>
      <c r="D38" s="55"/>
      <c r="E38" s="44"/>
      <c r="G38" s="45"/>
      <c r="H38" s="60"/>
    </row>
    <row r="39" spans="2:8" x14ac:dyDescent="0.3">
      <c r="B39" s="49" t="str">
        <f>IFERROR(INDEX('Position Database'!B:B,MATCH($A39,'Position Database'!$A:$A,0)),"")</f>
        <v/>
      </c>
      <c r="C39" s="50" t="str">
        <f>IFERROR(INDEX('Position Database'!C:C,MATCH($A39,'Position Database'!$A:$A,0)),"")</f>
        <v/>
      </c>
      <c r="D39" s="55"/>
      <c r="E39" s="44"/>
      <c r="G39" s="45"/>
      <c r="H39" s="60"/>
    </row>
    <row r="40" spans="2:8" x14ac:dyDescent="0.3">
      <c r="B40" s="49" t="str">
        <f>IFERROR(INDEX('Position Database'!B:B,MATCH($A40,'Position Database'!$A:$A,0)),"")</f>
        <v/>
      </c>
      <c r="C40" s="50" t="str">
        <f>IFERROR(INDEX('Position Database'!C:C,MATCH($A40,'Position Database'!$A:$A,0)),"")</f>
        <v/>
      </c>
      <c r="D40" s="55"/>
      <c r="E40" s="44"/>
      <c r="G40" s="45"/>
      <c r="H40" s="60"/>
    </row>
    <row r="41" spans="2:8" x14ac:dyDescent="0.3">
      <c r="B41" s="49" t="str">
        <f>IFERROR(INDEX('Position Database'!B:B,MATCH($A41,'Position Database'!$A:$A,0)),"")</f>
        <v/>
      </c>
      <c r="C41" s="50" t="str">
        <f>IFERROR(INDEX('Position Database'!C:C,MATCH($A41,'Position Database'!$A:$A,0)),"")</f>
        <v/>
      </c>
      <c r="D41" s="55"/>
      <c r="E41" s="44"/>
      <c r="G41" s="45"/>
      <c r="H41" s="60"/>
    </row>
    <row r="42" spans="2:8" x14ac:dyDescent="0.3">
      <c r="B42" s="49" t="str">
        <f>IFERROR(INDEX('Position Database'!B:B,MATCH($A42,'Position Database'!$A:$A,0)),"")</f>
        <v/>
      </c>
      <c r="C42" s="50" t="str">
        <f>IFERROR(INDEX('Position Database'!C:C,MATCH($A42,'Position Database'!$A:$A,0)),"")</f>
        <v/>
      </c>
      <c r="D42" s="55"/>
      <c r="E42" s="44"/>
      <c r="G42" s="45"/>
      <c r="H42" s="60"/>
    </row>
    <row r="43" spans="2:8" x14ac:dyDescent="0.3">
      <c r="B43" s="49" t="str">
        <f>IFERROR(INDEX('Position Database'!B:B,MATCH($A43,'Position Database'!$A:$A,0)),"")</f>
        <v/>
      </c>
      <c r="C43" s="50" t="str">
        <f>IFERROR(INDEX('Position Database'!C:C,MATCH($A43,'Position Database'!$A:$A,0)),"")</f>
        <v/>
      </c>
      <c r="D43" s="55"/>
      <c r="E43" s="44"/>
      <c r="G43" s="45"/>
      <c r="H43" s="60"/>
    </row>
    <row r="44" spans="2:8" x14ac:dyDescent="0.3">
      <c r="B44" s="49" t="str">
        <f>IFERROR(INDEX('Position Database'!B:B,MATCH($A44,'Position Database'!$A:$A,0)),"")</f>
        <v/>
      </c>
      <c r="C44" s="50" t="str">
        <f>IFERROR(INDEX('Position Database'!C:C,MATCH($A44,'Position Database'!$A:$A,0)),"")</f>
        <v/>
      </c>
      <c r="D44" s="55"/>
      <c r="E44" s="44"/>
      <c r="G44" s="45"/>
      <c r="H44" s="60"/>
    </row>
    <row r="45" spans="2:8" x14ac:dyDescent="0.3">
      <c r="B45" s="49" t="str">
        <f>IFERROR(INDEX('Position Database'!B:B,MATCH($A45,'Position Database'!$A:$A,0)),"")</f>
        <v/>
      </c>
      <c r="C45" s="50" t="str">
        <f>IFERROR(INDEX('Position Database'!C:C,MATCH($A45,'Position Database'!$A:$A,0)),"")</f>
        <v/>
      </c>
      <c r="D45" s="55"/>
      <c r="E45" s="44"/>
      <c r="G45" s="45"/>
      <c r="H45" s="60"/>
    </row>
    <row r="46" spans="2:8" x14ac:dyDescent="0.3">
      <c r="B46" s="49" t="str">
        <f>IFERROR(INDEX('Position Database'!B:B,MATCH($A46,'Position Database'!$A:$A,0)),"")</f>
        <v/>
      </c>
      <c r="C46" s="50" t="str">
        <f>IFERROR(INDEX('Position Database'!C:C,MATCH($A46,'Position Database'!$A:$A,0)),"")</f>
        <v/>
      </c>
      <c r="D46" s="55"/>
      <c r="E46" s="44"/>
      <c r="G46" s="45"/>
      <c r="H46" s="60"/>
    </row>
    <row r="47" spans="2:8" x14ac:dyDescent="0.3">
      <c r="B47" s="49" t="str">
        <f>IFERROR(INDEX('Position Database'!B:B,MATCH($A47,'Position Database'!$A:$A,0)),"")</f>
        <v/>
      </c>
      <c r="C47" s="50" t="str">
        <f>IFERROR(INDEX('Position Database'!C:C,MATCH($A47,'Position Database'!$A:$A,0)),"")</f>
        <v/>
      </c>
      <c r="D47" s="55"/>
      <c r="E47" s="44"/>
      <c r="G47" s="45"/>
      <c r="H47" s="60"/>
    </row>
    <row r="48" spans="2:8" x14ac:dyDescent="0.3">
      <c r="B48" s="49" t="str">
        <f>IFERROR(INDEX('Position Database'!B:B,MATCH($A48,'Position Database'!$A:$A,0)),"")</f>
        <v/>
      </c>
      <c r="C48" s="50" t="str">
        <f>IFERROR(INDEX('Position Database'!C:C,MATCH($A48,'Position Database'!$A:$A,0)),"")</f>
        <v/>
      </c>
      <c r="D48" s="55"/>
      <c r="E48" s="44"/>
      <c r="G48" s="45"/>
      <c r="H48" s="60"/>
    </row>
    <row r="49" spans="2:8" x14ac:dyDescent="0.3">
      <c r="B49" s="49" t="str">
        <f>IFERROR(INDEX('Position Database'!B:B,MATCH($A49,'Position Database'!$A:$A,0)),"")</f>
        <v/>
      </c>
      <c r="C49" s="50" t="str">
        <f>IFERROR(INDEX('Position Database'!C:C,MATCH($A49,'Position Database'!$A:$A,0)),"")</f>
        <v/>
      </c>
      <c r="D49" s="55"/>
      <c r="E49" s="44"/>
      <c r="G49" s="45"/>
      <c r="H49" s="60"/>
    </row>
    <row r="50" spans="2:8" x14ac:dyDescent="0.3">
      <c r="B50" s="49" t="str">
        <f>IFERROR(INDEX('Position Database'!B:B,MATCH($A50,'Position Database'!$A:$A,0)),"")</f>
        <v/>
      </c>
      <c r="C50" s="50" t="str">
        <f>IFERROR(INDEX('Position Database'!C:C,MATCH($A50,'Position Database'!$A:$A,0)),"")</f>
        <v/>
      </c>
      <c r="D50" s="55"/>
      <c r="E50" s="44"/>
      <c r="G50" s="45"/>
      <c r="H50" s="60"/>
    </row>
    <row r="51" spans="2:8" x14ac:dyDescent="0.3">
      <c r="B51" s="49" t="str">
        <f>IFERROR(INDEX('Position Database'!B:B,MATCH($A51,'Position Database'!$A:$A,0)),"")</f>
        <v/>
      </c>
      <c r="C51" s="50" t="str">
        <f>IFERROR(INDEX('Position Database'!C:C,MATCH($A51,'Position Database'!$A:$A,0)),"")</f>
        <v/>
      </c>
      <c r="D51" s="55"/>
      <c r="E51" s="44"/>
      <c r="G51" s="45"/>
      <c r="H51" s="60"/>
    </row>
    <row r="52" spans="2:8" x14ac:dyDescent="0.3">
      <c r="B52" s="49" t="str">
        <f>IFERROR(INDEX('Position Database'!B:B,MATCH($A52,'Position Database'!$A:$A,0)),"")</f>
        <v/>
      </c>
      <c r="C52" s="50" t="str">
        <f>IFERROR(INDEX('Position Database'!C:C,MATCH($A52,'Position Database'!$A:$A,0)),"")</f>
        <v/>
      </c>
      <c r="D52" s="55"/>
      <c r="E52" s="44"/>
      <c r="G52" s="45"/>
      <c r="H52" s="60"/>
    </row>
    <row r="53" spans="2:8" x14ac:dyDescent="0.3">
      <c r="B53" s="49" t="str">
        <f>IFERROR(INDEX('Position Database'!B:B,MATCH($A53,'Position Database'!$A:$A,0)),"")</f>
        <v/>
      </c>
      <c r="C53" s="50" t="str">
        <f>IFERROR(INDEX('Position Database'!C:C,MATCH($A53,'Position Database'!$A:$A,0)),"")</f>
        <v/>
      </c>
      <c r="D53" s="55"/>
      <c r="E53" s="44"/>
      <c r="G53" s="45"/>
      <c r="H53" s="60"/>
    </row>
    <row r="54" spans="2:8" x14ac:dyDescent="0.3">
      <c r="B54" s="49" t="str">
        <f>IFERROR(INDEX('Position Database'!B:B,MATCH($A54,'Position Database'!$A:$A,0)),"")</f>
        <v/>
      </c>
      <c r="C54" s="50" t="str">
        <f>IFERROR(INDEX('Position Database'!C:C,MATCH($A54,'Position Database'!$A:$A,0)),"")</f>
        <v/>
      </c>
      <c r="D54" s="55"/>
      <c r="E54" s="44"/>
      <c r="G54" s="45"/>
      <c r="H54" s="60"/>
    </row>
    <row r="55" spans="2:8" x14ac:dyDescent="0.3">
      <c r="B55" s="49" t="str">
        <f>IFERROR(INDEX('Position Database'!B:B,MATCH($A55,'Position Database'!$A:$A,0)),"")</f>
        <v/>
      </c>
      <c r="C55" s="50" t="str">
        <f>IFERROR(INDEX('Position Database'!C:C,MATCH($A55,'Position Database'!$A:$A,0)),"")</f>
        <v/>
      </c>
      <c r="D55" s="55"/>
      <c r="E55" s="44"/>
      <c r="G55" s="45"/>
      <c r="H55" s="60"/>
    </row>
    <row r="56" spans="2:8" x14ac:dyDescent="0.3">
      <c r="B56" s="49" t="str">
        <f>IFERROR(INDEX('Position Database'!B:B,MATCH($A56,'Position Database'!$A:$A,0)),"")</f>
        <v/>
      </c>
      <c r="C56" s="50" t="str">
        <f>IFERROR(INDEX('Position Database'!C:C,MATCH($A56,'Position Database'!$A:$A,0)),"")</f>
        <v/>
      </c>
      <c r="D56" s="55"/>
      <c r="E56" s="44"/>
      <c r="G56" s="45"/>
      <c r="H56" s="60"/>
    </row>
    <row r="57" spans="2:8" x14ac:dyDescent="0.3">
      <c r="B57" s="49" t="str">
        <f>IFERROR(INDEX('Position Database'!B:B,MATCH($A57,'Position Database'!$A:$A,0)),"")</f>
        <v/>
      </c>
      <c r="C57" s="50" t="str">
        <f>IFERROR(INDEX('Position Database'!C:C,MATCH($A57,'Position Database'!$A:$A,0)),"")</f>
        <v/>
      </c>
      <c r="D57" s="55"/>
      <c r="E57" s="44"/>
      <c r="G57" s="45"/>
      <c r="H57" s="60"/>
    </row>
    <row r="58" spans="2:8" x14ac:dyDescent="0.3">
      <c r="B58" s="49" t="str">
        <f>IFERROR(INDEX('Position Database'!B:B,MATCH($A58,'Position Database'!$A:$A,0)),"")</f>
        <v/>
      </c>
      <c r="C58" s="50" t="str">
        <f>IFERROR(INDEX('Position Database'!C:C,MATCH($A58,'Position Database'!$A:$A,0)),"")</f>
        <v/>
      </c>
      <c r="D58" s="55"/>
      <c r="E58" s="44"/>
      <c r="G58" s="45"/>
      <c r="H58" s="60"/>
    </row>
    <row r="59" spans="2:8" x14ac:dyDescent="0.3">
      <c r="B59" s="49" t="str">
        <f>IFERROR(INDEX('Position Database'!B:B,MATCH($A59,'Position Database'!$A:$A,0)),"")</f>
        <v/>
      </c>
      <c r="C59" s="50" t="str">
        <f>IFERROR(INDEX('Position Database'!C:C,MATCH($A59,'Position Database'!$A:$A,0)),"")</f>
        <v/>
      </c>
      <c r="D59" s="55"/>
      <c r="E59" s="44"/>
      <c r="G59" s="45"/>
      <c r="H59" s="60"/>
    </row>
    <row r="60" spans="2:8" x14ac:dyDescent="0.3">
      <c r="B60" s="49" t="str">
        <f>IFERROR(INDEX('Position Database'!B:B,MATCH($A60,'Position Database'!$A:$A,0)),"")</f>
        <v/>
      </c>
      <c r="C60" s="50" t="str">
        <f>IFERROR(INDEX('Position Database'!C:C,MATCH($A60,'Position Database'!$A:$A,0)),"")</f>
        <v/>
      </c>
      <c r="D60" s="55"/>
      <c r="E60" s="44"/>
      <c r="G60" s="45"/>
      <c r="H60" s="60"/>
    </row>
    <row r="61" spans="2:8" x14ac:dyDescent="0.3">
      <c r="B61" s="49" t="str">
        <f>IFERROR(INDEX('Position Database'!B:B,MATCH($A61,'Position Database'!$A:$A,0)),"")</f>
        <v/>
      </c>
      <c r="C61" s="50" t="str">
        <f>IFERROR(INDEX('Position Database'!C:C,MATCH($A61,'Position Database'!$A:$A,0)),"")</f>
        <v/>
      </c>
      <c r="D61" s="55"/>
      <c r="E61" s="44"/>
      <c r="G61" s="45"/>
      <c r="H61" s="60"/>
    </row>
    <row r="62" spans="2:8" x14ac:dyDescent="0.3">
      <c r="B62" s="49" t="str">
        <f>IFERROR(INDEX('Position Database'!B:B,MATCH($A62,'Position Database'!$A:$A,0)),"")</f>
        <v/>
      </c>
      <c r="C62" s="50" t="str">
        <f>IFERROR(INDEX('Position Database'!C:C,MATCH($A62,'Position Database'!$A:$A,0)),"")</f>
        <v/>
      </c>
      <c r="D62" s="55"/>
      <c r="E62" s="44"/>
      <c r="G62" s="45"/>
      <c r="H62" s="60"/>
    </row>
    <row r="63" spans="2:8" x14ac:dyDescent="0.3">
      <c r="B63" s="49" t="str">
        <f>IFERROR(INDEX('Position Database'!B:B,MATCH($A63,'Position Database'!$A:$A,0)),"")</f>
        <v/>
      </c>
      <c r="C63" s="50" t="str">
        <f>IFERROR(INDEX('Position Database'!C:C,MATCH($A63,'Position Database'!$A:$A,0)),"")</f>
        <v/>
      </c>
      <c r="D63" s="55"/>
      <c r="E63" s="44"/>
      <c r="G63" s="45"/>
      <c r="H63" s="60"/>
    </row>
    <row r="64" spans="2:8" x14ac:dyDescent="0.3">
      <c r="B64" s="49" t="str">
        <f>IFERROR(INDEX('Position Database'!B:B,MATCH($A64,'Position Database'!$A:$A,0)),"")</f>
        <v/>
      </c>
      <c r="C64" s="50" t="str">
        <f>IFERROR(INDEX('Position Database'!C:C,MATCH($A64,'Position Database'!$A:$A,0)),"")</f>
        <v/>
      </c>
      <c r="D64" s="55"/>
      <c r="E64" s="44"/>
      <c r="G64" s="45"/>
      <c r="H64" s="60"/>
    </row>
    <row r="65" spans="2:8" x14ac:dyDescent="0.3">
      <c r="B65" s="49" t="str">
        <f>IFERROR(INDEX('Position Database'!B:B,MATCH($A65,'Position Database'!$A:$A,0)),"")</f>
        <v/>
      </c>
      <c r="C65" s="50" t="str">
        <f>IFERROR(INDEX('Position Database'!C:C,MATCH($A65,'Position Database'!$A:$A,0)),"")</f>
        <v/>
      </c>
      <c r="D65" s="55"/>
      <c r="E65" s="44"/>
      <c r="G65" s="45"/>
      <c r="H65" s="60"/>
    </row>
    <row r="66" spans="2:8" x14ac:dyDescent="0.3">
      <c r="B66" s="49" t="str">
        <f>IFERROR(INDEX('Position Database'!B:B,MATCH($A66,'Position Database'!$A:$A,0)),"")</f>
        <v/>
      </c>
      <c r="C66" s="50" t="str">
        <f>IFERROR(INDEX('Position Database'!C:C,MATCH($A66,'Position Database'!$A:$A,0)),"")</f>
        <v/>
      </c>
      <c r="D66" s="55"/>
      <c r="E66" s="44"/>
      <c r="G66" s="45"/>
      <c r="H66" s="60"/>
    </row>
    <row r="67" spans="2:8" x14ac:dyDescent="0.3">
      <c r="B67" s="49" t="str">
        <f>IFERROR(INDEX('Position Database'!B:B,MATCH($A67,'Position Database'!$A:$A,0)),"")</f>
        <v/>
      </c>
      <c r="C67" s="50" t="str">
        <f>IFERROR(INDEX('Position Database'!C:C,MATCH($A67,'Position Database'!$A:$A,0)),"")</f>
        <v/>
      </c>
      <c r="D67" s="55"/>
      <c r="E67" s="44"/>
      <c r="G67" s="45"/>
      <c r="H67" s="60"/>
    </row>
    <row r="68" spans="2:8" x14ac:dyDescent="0.3">
      <c r="B68" s="49" t="str">
        <f>IFERROR(INDEX('Position Database'!B:B,MATCH($A68,'Position Database'!$A:$A,0)),"")</f>
        <v/>
      </c>
      <c r="C68" s="50" t="str">
        <f>IFERROR(INDEX('Position Database'!C:C,MATCH($A68,'Position Database'!$A:$A,0)),"")</f>
        <v/>
      </c>
      <c r="D68" s="55"/>
      <c r="E68" s="44"/>
      <c r="G68" s="45"/>
      <c r="H68" s="60"/>
    </row>
    <row r="69" spans="2:8" x14ac:dyDescent="0.3">
      <c r="B69" s="49" t="str">
        <f>IFERROR(INDEX('Position Database'!B:B,MATCH($A69,'Position Database'!$A:$A,0)),"")</f>
        <v/>
      </c>
      <c r="C69" s="50" t="str">
        <f>IFERROR(INDEX('Position Database'!C:C,MATCH($A69,'Position Database'!$A:$A,0)),"")</f>
        <v/>
      </c>
      <c r="D69" s="55"/>
      <c r="E69" s="44"/>
      <c r="G69" s="45"/>
      <c r="H69" s="60"/>
    </row>
    <row r="70" spans="2:8" x14ac:dyDescent="0.3">
      <c r="B70" s="49" t="str">
        <f>IFERROR(INDEX('Position Database'!B:B,MATCH($A70,'Position Database'!$A:$A,0)),"")</f>
        <v/>
      </c>
      <c r="C70" s="50" t="str">
        <f>IFERROR(INDEX('Position Database'!C:C,MATCH($A70,'Position Database'!$A:$A,0)),"")</f>
        <v/>
      </c>
      <c r="D70" s="55"/>
      <c r="E70" s="44"/>
      <c r="G70" s="45"/>
      <c r="H70" s="60"/>
    </row>
    <row r="71" spans="2:8" x14ac:dyDescent="0.3">
      <c r="B71" s="49" t="str">
        <f>IFERROR(INDEX('Position Database'!B:B,MATCH($A71,'Position Database'!$A:$A,0)),"")</f>
        <v/>
      </c>
      <c r="C71" s="50" t="str">
        <f>IFERROR(INDEX('Position Database'!C:C,MATCH($A71,'Position Database'!$A:$A,0)),"")</f>
        <v/>
      </c>
      <c r="D71" s="55"/>
      <c r="E71" s="44"/>
      <c r="G71" s="45"/>
      <c r="H71" s="60"/>
    </row>
    <row r="72" spans="2:8" x14ac:dyDescent="0.3">
      <c r="B72" s="49" t="str">
        <f>IFERROR(INDEX('Position Database'!B:B,MATCH($A72,'Position Database'!$A:$A,0)),"")</f>
        <v/>
      </c>
      <c r="C72" s="50" t="str">
        <f>IFERROR(INDEX('Position Database'!C:C,MATCH($A72,'Position Database'!$A:$A,0)),"")</f>
        <v/>
      </c>
      <c r="D72" s="55"/>
      <c r="E72" s="44"/>
      <c r="G72" s="45"/>
      <c r="H72" s="60"/>
    </row>
    <row r="73" spans="2:8" x14ac:dyDescent="0.3">
      <c r="B73" s="49" t="str">
        <f>IFERROR(INDEX('Position Database'!B:B,MATCH($A73,'Position Database'!$A:$A,0)),"")</f>
        <v/>
      </c>
      <c r="C73" s="50" t="str">
        <f>IFERROR(INDEX('Position Database'!C:C,MATCH($A73,'Position Database'!$A:$A,0)),"")</f>
        <v/>
      </c>
      <c r="D73" s="55"/>
      <c r="E73" s="44"/>
      <c r="G73" s="45"/>
      <c r="H73" s="60"/>
    </row>
    <row r="74" spans="2:8" x14ac:dyDescent="0.3">
      <c r="B74" s="49" t="str">
        <f>IFERROR(INDEX('Position Database'!B:B,MATCH($A74,'Position Database'!$A:$A,0)),"")</f>
        <v/>
      </c>
      <c r="C74" s="50" t="str">
        <f>IFERROR(INDEX('Position Database'!C:C,MATCH($A74,'Position Database'!$A:$A,0)),"")</f>
        <v/>
      </c>
      <c r="D74" s="55"/>
      <c r="E74" s="44"/>
      <c r="G74" s="45"/>
      <c r="H74" s="60"/>
    </row>
    <row r="75" spans="2:8" x14ac:dyDescent="0.3">
      <c r="B75" s="49" t="str">
        <f>IFERROR(INDEX('Position Database'!B:B,MATCH($A75,'Position Database'!$A:$A,0)),"")</f>
        <v/>
      </c>
      <c r="C75" s="50" t="str">
        <f>IFERROR(INDEX('Position Database'!C:C,MATCH($A75,'Position Database'!$A:$A,0)),"")</f>
        <v/>
      </c>
      <c r="D75" s="55"/>
      <c r="E75" s="44"/>
      <c r="G75" s="45"/>
      <c r="H75" s="60"/>
    </row>
    <row r="76" spans="2:8" x14ac:dyDescent="0.3">
      <c r="B76" s="49" t="str">
        <f>IFERROR(INDEX('Position Database'!B:B,MATCH($A76,'Position Database'!$A:$A,0)),"")</f>
        <v/>
      </c>
      <c r="C76" s="50" t="str">
        <f>IFERROR(INDEX('Position Database'!C:C,MATCH($A76,'Position Database'!$A:$A,0)),"")</f>
        <v/>
      </c>
      <c r="D76" s="55"/>
      <c r="E76" s="44"/>
      <c r="G76" s="45"/>
      <c r="H76" s="60"/>
    </row>
    <row r="77" spans="2:8" x14ac:dyDescent="0.3">
      <c r="B77" s="49" t="str">
        <f>IFERROR(INDEX('Position Database'!B:B,MATCH($A77,'Position Database'!$A:$A,0)),"")</f>
        <v/>
      </c>
      <c r="C77" s="50" t="str">
        <f>IFERROR(INDEX('Position Database'!C:C,MATCH($A77,'Position Database'!$A:$A,0)),"")</f>
        <v/>
      </c>
      <c r="D77" s="55"/>
      <c r="E77" s="44"/>
      <c r="G77" s="45"/>
      <c r="H77" s="60"/>
    </row>
    <row r="78" spans="2:8" x14ac:dyDescent="0.3">
      <c r="B78" s="49" t="str">
        <f>IFERROR(INDEX('Position Database'!B:B,MATCH($A78,'Position Database'!$A:$A,0)),"")</f>
        <v/>
      </c>
      <c r="C78" s="50" t="str">
        <f>IFERROR(INDEX('Position Database'!C:C,MATCH($A78,'Position Database'!$A:$A,0)),"")</f>
        <v/>
      </c>
      <c r="D78" s="55"/>
      <c r="E78" s="44"/>
      <c r="G78" s="45"/>
      <c r="H78" s="60"/>
    </row>
    <row r="79" spans="2:8" x14ac:dyDescent="0.3">
      <c r="B79" s="49" t="str">
        <f>IFERROR(INDEX('Position Database'!B:B,MATCH($A79,'Position Database'!$A:$A,0)),"")</f>
        <v/>
      </c>
      <c r="C79" s="50" t="str">
        <f>IFERROR(INDEX('Position Database'!C:C,MATCH($A79,'Position Database'!$A:$A,0)),"")</f>
        <v/>
      </c>
      <c r="D79" s="55"/>
      <c r="E79" s="44"/>
      <c r="G79" s="45"/>
      <c r="H79" s="60"/>
    </row>
    <row r="80" spans="2:8" x14ac:dyDescent="0.3">
      <c r="B80" s="49" t="str">
        <f>IFERROR(INDEX('Position Database'!B:B,MATCH($A80,'Position Database'!$A:$A,0)),"")</f>
        <v/>
      </c>
      <c r="C80" s="50" t="str">
        <f>IFERROR(INDEX('Position Database'!C:C,MATCH($A80,'Position Database'!$A:$A,0)),"")</f>
        <v/>
      </c>
      <c r="D80" s="55"/>
      <c r="E80" s="44"/>
      <c r="G80" s="45"/>
      <c r="H80" s="60"/>
    </row>
    <row r="81" spans="2:8" x14ac:dyDescent="0.3">
      <c r="B81" s="49" t="str">
        <f>IFERROR(INDEX('Position Database'!B:B,MATCH($A81,'Position Database'!$A:$A,0)),"")</f>
        <v/>
      </c>
      <c r="C81" s="50" t="str">
        <f>IFERROR(INDEX('Position Database'!C:C,MATCH($A81,'Position Database'!$A:$A,0)),"")</f>
        <v/>
      </c>
      <c r="D81" s="55"/>
      <c r="E81" s="44"/>
      <c r="G81" s="45"/>
      <c r="H81" s="60"/>
    </row>
    <row r="82" spans="2:8" x14ac:dyDescent="0.3">
      <c r="B82" s="49" t="str">
        <f>IFERROR(INDEX('Position Database'!B:B,MATCH($A82,'Position Database'!$A:$A,0)),"")</f>
        <v/>
      </c>
      <c r="C82" s="50" t="str">
        <f>IFERROR(INDEX('Position Database'!C:C,MATCH($A82,'Position Database'!$A:$A,0)),"")</f>
        <v/>
      </c>
      <c r="D82" s="55"/>
      <c r="E82" s="44"/>
      <c r="G82" s="45"/>
      <c r="H82" s="60"/>
    </row>
    <row r="83" spans="2:8" x14ac:dyDescent="0.3">
      <c r="B83" s="49" t="str">
        <f>IFERROR(INDEX('Position Database'!B:B,MATCH($A83,'Position Database'!$A:$A,0)),"")</f>
        <v/>
      </c>
      <c r="C83" s="50" t="str">
        <f>IFERROR(INDEX('Position Database'!C:C,MATCH($A83,'Position Database'!$A:$A,0)),"")</f>
        <v/>
      </c>
      <c r="D83" s="55"/>
      <c r="E83" s="44"/>
      <c r="G83" s="45"/>
      <c r="H83" s="60"/>
    </row>
    <row r="84" spans="2:8" x14ac:dyDescent="0.3">
      <c r="B84" s="49" t="str">
        <f>IFERROR(INDEX('Position Database'!B:B,MATCH($A84,'Position Database'!$A:$A,0)),"")</f>
        <v/>
      </c>
      <c r="C84" s="50" t="str">
        <f>IFERROR(INDEX('Position Database'!C:C,MATCH($A84,'Position Database'!$A:$A,0)),"")</f>
        <v/>
      </c>
      <c r="D84" s="55"/>
      <c r="E84" s="44"/>
      <c r="G84" s="45"/>
      <c r="H84" s="60"/>
    </row>
    <row r="85" spans="2:8" x14ac:dyDescent="0.3">
      <c r="B85" s="49" t="str">
        <f>IFERROR(INDEX('Position Database'!B:B,MATCH($A85,'Position Database'!$A:$A,0)),"")</f>
        <v/>
      </c>
      <c r="C85" s="50" t="str">
        <f>IFERROR(INDEX('Position Database'!C:C,MATCH($A85,'Position Database'!$A:$A,0)),"")</f>
        <v/>
      </c>
      <c r="D85" s="55"/>
      <c r="E85" s="44"/>
      <c r="G85" s="45"/>
      <c r="H85" s="60"/>
    </row>
    <row r="86" spans="2:8" x14ac:dyDescent="0.3">
      <c r="B86" s="49" t="str">
        <f>IFERROR(INDEX('Position Database'!B:B,MATCH($A86,'Position Database'!$A:$A,0)),"")</f>
        <v/>
      </c>
      <c r="C86" s="50" t="str">
        <f>IFERROR(INDEX('Position Database'!C:C,MATCH($A86,'Position Database'!$A:$A,0)),"")</f>
        <v/>
      </c>
      <c r="D86" s="55"/>
      <c r="E86" s="44"/>
      <c r="G86" s="45"/>
      <c r="H86" s="60"/>
    </row>
    <row r="87" spans="2:8" x14ac:dyDescent="0.3">
      <c r="B87" s="49" t="str">
        <f>IFERROR(INDEX('Position Database'!B:B,MATCH($A87,'Position Database'!$A:$A,0)),"")</f>
        <v/>
      </c>
      <c r="C87" s="50" t="str">
        <f>IFERROR(INDEX('Position Database'!C:C,MATCH($A87,'Position Database'!$A:$A,0)),"")</f>
        <v/>
      </c>
      <c r="D87" s="55"/>
      <c r="E87" s="44"/>
      <c r="G87" s="45"/>
      <c r="H87" s="60"/>
    </row>
    <row r="88" spans="2:8" x14ac:dyDescent="0.3">
      <c r="B88" s="49" t="str">
        <f>IFERROR(INDEX('Position Database'!B:B,MATCH($A88,'Position Database'!$A:$A,0)),"")</f>
        <v/>
      </c>
      <c r="C88" s="50" t="str">
        <f>IFERROR(INDEX('Position Database'!C:C,MATCH($A88,'Position Database'!$A:$A,0)),"")</f>
        <v/>
      </c>
      <c r="D88" s="55"/>
      <c r="E88" s="44"/>
      <c r="G88" s="45"/>
      <c r="H88" s="60"/>
    </row>
    <row r="89" spans="2:8" x14ac:dyDescent="0.3">
      <c r="B89" s="49" t="str">
        <f>IFERROR(INDEX('Position Database'!B:B,MATCH($A89,'Position Database'!$A:$A,0)),"")</f>
        <v/>
      </c>
      <c r="C89" s="50" t="str">
        <f>IFERROR(INDEX('Position Database'!C:C,MATCH($A89,'Position Database'!$A:$A,0)),"")</f>
        <v/>
      </c>
      <c r="D89" s="55"/>
      <c r="E89" s="44"/>
      <c r="G89" s="45"/>
      <c r="H89" s="60"/>
    </row>
    <row r="90" spans="2:8" x14ac:dyDescent="0.3">
      <c r="B90" s="49" t="str">
        <f>IFERROR(INDEX('Position Database'!B:B,MATCH($A90,'Position Database'!$A:$A,0)),"")</f>
        <v/>
      </c>
      <c r="C90" s="50" t="str">
        <f>IFERROR(INDEX('Position Database'!C:C,MATCH($A90,'Position Database'!$A:$A,0)),"")</f>
        <v/>
      </c>
      <c r="D90" s="55"/>
      <c r="E90" s="44"/>
      <c r="G90" s="45"/>
      <c r="H90" s="60"/>
    </row>
    <row r="91" spans="2:8" x14ac:dyDescent="0.3">
      <c r="B91" s="49" t="str">
        <f>IFERROR(INDEX('Position Database'!B:B,MATCH($A91,'Position Database'!$A:$A,0)),"")</f>
        <v/>
      </c>
      <c r="C91" s="50" t="str">
        <f>IFERROR(INDEX('Position Database'!C:C,MATCH($A91,'Position Database'!$A:$A,0)),"")</f>
        <v/>
      </c>
      <c r="D91" s="55"/>
      <c r="E91" s="44"/>
      <c r="G91" s="45"/>
      <c r="H91" s="60"/>
    </row>
    <row r="92" spans="2:8" x14ac:dyDescent="0.3">
      <c r="B92" s="49" t="str">
        <f>IFERROR(INDEX('Position Database'!B:B,MATCH($A92,'Position Database'!$A:$A,0)),"")</f>
        <v/>
      </c>
      <c r="C92" s="50" t="str">
        <f>IFERROR(INDEX('Position Database'!C:C,MATCH($A92,'Position Database'!$A:$A,0)),"")</f>
        <v/>
      </c>
      <c r="D92" s="55"/>
      <c r="E92" s="44"/>
      <c r="G92" s="45"/>
      <c r="H92" s="60"/>
    </row>
    <row r="93" spans="2:8" x14ac:dyDescent="0.3">
      <c r="B93" s="49" t="str">
        <f>IFERROR(INDEX('Position Database'!B:B,MATCH($A93,'Position Database'!$A:$A,0)),"")</f>
        <v/>
      </c>
      <c r="C93" s="50" t="str">
        <f>IFERROR(INDEX('Position Database'!C:C,MATCH($A93,'Position Database'!$A:$A,0)),"")</f>
        <v/>
      </c>
      <c r="D93" s="55"/>
      <c r="E93" s="44"/>
      <c r="G93" s="45"/>
      <c r="H93" s="60"/>
    </row>
    <row r="94" spans="2:8" x14ac:dyDescent="0.3">
      <c r="B94" s="49" t="str">
        <f>IFERROR(INDEX('Position Database'!B:B,MATCH($A94,'Position Database'!$A:$A,0)),"")</f>
        <v/>
      </c>
      <c r="C94" s="50" t="str">
        <f>IFERROR(INDEX('Position Database'!C:C,MATCH($A94,'Position Database'!$A:$A,0)),"")</f>
        <v/>
      </c>
      <c r="D94" s="55"/>
      <c r="E94" s="44"/>
      <c r="G94" s="45"/>
      <c r="H94" s="60"/>
    </row>
    <row r="95" spans="2:8" x14ac:dyDescent="0.3">
      <c r="B95" s="49" t="str">
        <f>IFERROR(INDEX('Position Database'!B:B,MATCH($A95,'Position Database'!$A:$A,0)),"")</f>
        <v/>
      </c>
      <c r="C95" s="50" t="str">
        <f>IFERROR(INDEX('Position Database'!C:C,MATCH($A95,'Position Database'!$A:$A,0)),"")</f>
        <v/>
      </c>
      <c r="D95" s="55"/>
      <c r="E95" s="44"/>
      <c r="G95" s="45"/>
      <c r="H95" s="60"/>
    </row>
    <row r="96" spans="2:8" x14ac:dyDescent="0.3">
      <c r="B96" s="49" t="str">
        <f>IFERROR(INDEX('Position Database'!B:B,MATCH($A96,'Position Database'!$A:$A,0)),"")</f>
        <v/>
      </c>
      <c r="C96" s="50" t="str">
        <f>IFERROR(INDEX('Position Database'!C:C,MATCH($A96,'Position Database'!$A:$A,0)),"")</f>
        <v/>
      </c>
      <c r="D96" s="55"/>
      <c r="E96" s="44"/>
      <c r="G96" s="45"/>
      <c r="H96" s="60"/>
    </row>
    <row r="97" spans="2:8" x14ac:dyDescent="0.3">
      <c r="B97" s="49" t="str">
        <f>IFERROR(INDEX('Position Database'!B:B,MATCH($A97,'Position Database'!$A:$A,0)),"")</f>
        <v/>
      </c>
      <c r="C97" s="50" t="str">
        <f>IFERROR(INDEX('Position Database'!C:C,MATCH($A97,'Position Database'!$A:$A,0)),"")</f>
        <v/>
      </c>
      <c r="D97" s="55"/>
      <c r="E97" s="44"/>
      <c r="G97" s="45"/>
      <c r="H97" s="60"/>
    </row>
    <row r="98" spans="2:8" x14ac:dyDescent="0.3">
      <c r="B98" s="49" t="str">
        <f>IFERROR(INDEX('Position Database'!B:B,MATCH($A98,'Position Database'!$A:$A,0)),"")</f>
        <v/>
      </c>
      <c r="C98" s="50" t="str">
        <f>IFERROR(INDEX('Position Database'!C:C,MATCH($A98,'Position Database'!$A:$A,0)),"")</f>
        <v/>
      </c>
      <c r="D98" s="55"/>
      <c r="E98" s="44"/>
      <c r="G98" s="45"/>
      <c r="H98" s="60"/>
    </row>
    <row r="99" spans="2:8" x14ac:dyDescent="0.3">
      <c r="B99" s="49" t="str">
        <f>IFERROR(INDEX('Position Database'!B:B,MATCH($A99,'Position Database'!$A:$A,0)),"")</f>
        <v/>
      </c>
      <c r="C99" s="50" t="str">
        <f>IFERROR(INDEX('Position Database'!C:C,MATCH($A99,'Position Database'!$A:$A,0)),"")</f>
        <v/>
      </c>
      <c r="D99" s="55"/>
      <c r="E99" s="44"/>
      <c r="G99" s="45"/>
      <c r="H99" s="60"/>
    </row>
    <row r="100" spans="2:8" x14ac:dyDescent="0.3">
      <c r="B100" s="49" t="str">
        <f>IFERROR(INDEX('Position Database'!B:B,MATCH($A100,'Position Database'!$A:$A,0)),"")</f>
        <v/>
      </c>
      <c r="C100" s="50" t="str">
        <f>IFERROR(INDEX('Position Database'!C:C,MATCH($A100,'Position Database'!$A:$A,0)),"")</f>
        <v/>
      </c>
      <c r="D100" s="55"/>
      <c r="E100" s="44"/>
      <c r="G100" s="45"/>
      <c r="H100" s="60"/>
    </row>
    <row r="101" spans="2:8" x14ac:dyDescent="0.3">
      <c r="B101" s="49" t="str">
        <f>IFERROR(INDEX('Position Database'!B:B,MATCH($A101,'Position Database'!$A:$A,0)),"")</f>
        <v/>
      </c>
      <c r="C101" s="50" t="str">
        <f>IFERROR(INDEX('Position Database'!C:C,MATCH($A101,'Position Database'!$A:$A,0)),"")</f>
        <v/>
      </c>
      <c r="D101" s="55"/>
      <c r="E101" s="44"/>
      <c r="G101" s="45"/>
      <c r="H101" s="60"/>
    </row>
    <row r="102" spans="2:8" x14ac:dyDescent="0.3">
      <c r="B102" s="49" t="str">
        <f>IFERROR(INDEX('Position Database'!B:B,MATCH($A102,'Position Database'!$A:$A,0)),"")</f>
        <v/>
      </c>
      <c r="C102" s="50" t="str">
        <f>IFERROR(INDEX('Position Database'!C:C,MATCH($A102,'Position Database'!$A:$A,0)),"")</f>
        <v/>
      </c>
      <c r="D102" s="55"/>
      <c r="E102" s="44"/>
      <c r="G102" s="45"/>
      <c r="H102" s="60"/>
    </row>
    <row r="103" spans="2:8" x14ac:dyDescent="0.3">
      <c r="B103" s="49" t="str">
        <f>IFERROR(INDEX('Position Database'!B:B,MATCH($A103,'Position Database'!$A:$A,0)),"")</f>
        <v/>
      </c>
      <c r="C103" s="50" t="str">
        <f>IFERROR(INDEX('Position Database'!C:C,MATCH($A103,'Position Database'!$A:$A,0)),"")</f>
        <v/>
      </c>
      <c r="D103" s="55"/>
      <c r="E103" s="44"/>
      <c r="G103" s="45"/>
      <c r="H103" s="60"/>
    </row>
    <row r="104" spans="2:8" x14ac:dyDescent="0.3">
      <c r="B104" s="49" t="str">
        <f>IFERROR(INDEX('Position Database'!B:B,MATCH($A104,'Position Database'!$A:$A,0)),"")</f>
        <v/>
      </c>
      <c r="C104" s="50" t="str">
        <f>IFERROR(INDEX('Position Database'!C:C,MATCH($A104,'Position Database'!$A:$A,0)),"")</f>
        <v/>
      </c>
      <c r="D104" s="55"/>
      <c r="E104" s="44"/>
      <c r="G104" s="45"/>
      <c r="H104" s="60"/>
    </row>
    <row r="105" spans="2:8" x14ac:dyDescent="0.3">
      <c r="B105" s="49" t="str">
        <f>IFERROR(INDEX('Position Database'!B:B,MATCH($A105,'Position Database'!$A:$A,0)),"")</f>
        <v/>
      </c>
      <c r="C105" s="50" t="str">
        <f>IFERROR(INDEX('Position Database'!C:C,MATCH($A105,'Position Database'!$A:$A,0)),"")</f>
        <v/>
      </c>
      <c r="D105" s="55"/>
      <c r="E105" s="44"/>
      <c r="G105" s="45"/>
      <c r="H105" s="60"/>
    </row>
    <row r="106" spans="2:8" x14ac:dyDescent="0.3">
      <c r="B106" s="49" t="str">
        <f>IFERROR(INDEX('Position Database'!B:B,MATCH($A106,'Position Database'!$A:$A,0)),"")</f>
        <v/>
      </c>
      <c r="C106" s="50" t="str">
        <f>IFERROR(INDEX('Position Database'!C:C,MATCH($A106,'Position Database'!$A:$A,0)),"")</f>
        <v/>
      </c>
      <c r="D106" s="55"/>
      <c r="E106" s="44"/>
      <c r="G106" s="45"/>
      <c r="H106" s="60"/>
    </row>
    <row r="107" spans="2:8" x14ac:dyDescent="0.3">
      <c r="B107" s="49" t="str">
        <f>IFERROR(INDEX('Position Database'!B:B,MATCH($A107,'Position Database'!$A:$A,0)),"")</f>
        <v/>
      </c>
      <c r="C107" s="50" t="str">
        <f>IFERROR(INDEX('Position Database'!C:C,MATCH($A107,'Position Database'!$A:$A,0)),"")</f>
        <v/>
      </c>
      <c r="D107" s="55"/>
      <c r="E107" s="44"/>
      <c r="G107" s="45"/>
      <c r="H107" s="60"/>
    </row>
    <row r="108" spans="2:8" x14ac:dyDescent="0.3">
      <c r="B108" s="49" t="str">
        <f>IFERROR(INDEX('Position Database'!B:B,MATCH($A108,'Position Database'!$A:$A,0)),"")</f>
        <v/>
      </c>
      <c r="C108" s="50" t="str">
        <f>IFERROR(INDEX('Position Database'!C:C,MATCH($A108,'Position Database'!$A:$A,0)),"")</f>
        <v/>
      </c>
      <c r="D108" s="55"/>
      <c r="E108" s="44"/>
      <c r="G108" s="45"/>
      <c r="H108" s="60"/>
    </row>
    <row r="109" spans="2:8" x14ac:dyDescent="0.3">
      <c r="B109" s="49" t="str">
        <f>IFERROR(INDEX('Position Database'!B:B,MATCH($A109,'Position Database'!$A:$A,0)),"")</f>
        <v/>
      </c>
      <c r="C109" s="50" t="str">
        <f>IFERROR(INDEX('Position Database'!C:C,MATCH($A109,'Position Database'!$A:$A,0)),"")</f>
        <v/>
      </c>
      <c r="D109" s="55"/>
      <c r="E109" s="44"/>
      <c r="G109" s="45"/>
      <c r="H109" s="60"/>
    </row>
    <row r="110" spans="2:8" x14ac:dyDescent="0.3">
      <c r="B110" s="49" t="str">
        <f>IFERROR(INDEX('Position Database'!B:B,MATCH($A110,'Position Database'!$A:$A,0)),"")</f>
        <v/>
      </c>
      <c r="C110" s="50" t="str">
        <f>IFERROR(INDEX('Position Database'!C:C,MATCH($A110,'Position Database'!$A:$A,0)),"")</f>
        <v/>
      </c>
      <c r="D110" s="55"/>
      <c r="E110" s="44"/>
      <c r="G110" s="45"/>
      <c r="H110" s="60"/>
    </row>
    <row r="111" spans="2:8" x14ac:dyDescent="0.3">
      <c r="B111" s="49" t="str">
        <f>IFERROR(INDEX('Position Database'!B:B,MATCH($A111,'Position Database'!$A:$A,0)),"")</f>
        <v/>
      </c>
      <c r="C111" s="50" t="str">
        <f>IFERROR(INDEX('Position Database'!C:C,MATCH($A111,'Position Database'!$A:$A,0)),"")</f>
        <v/>
      </c>
      <c r="D111" s="55"/>
      <c r="E111" s="44"/>
      <c r="G111" s="45"/>
      <c r="H111" s="60"/>
    </row>
    <row r="112" spans="2:8" x14ac:dyDescent="0.3">
      <c r="B112" s="49" t="str">
        <f>IFERROR(INDEX('Position Database'!B:B,MATCH($A112,'Position Database'!$A:$A,0)),"")</f>
        <v/>
      </c>
      <c r="C112" s="50" t="str">
        <f>IFERROR(INDEX('Position Database'!C:C,MATCH($A112,'Position Database'!$A:$A,0)),"")</f>
        <v/>
      </c>
      <c r="D112" s="55"/>
      <c r="E112" s="44"/>
      <c r="G112" s="45"/>
      <c r="H112" s="60"/>
    </row>
    <row r="113" spans="2:8" x14ac:dyDescent="0.3">
      <c r="B113" s="49" t="str">
        <f>IFERROR(INDEX('Position Database'!B:B,MATCH($A113,'Position Database'!$A:$A,0)),"")</f>
        <v/>
      </c>
      <c r="C113" s="50" t="str">
        <f>IFERROR(INDEX('Position Database'!C:C,MATCH($A113,'Position Database'!$A:$A,0)),"")</f>
        <v/>
      </c>
      <c r="D113" s="55"/>
      <c r="E113" s="44"/>
      <c r="G113" s="45"/>
      <c r="H113" s="60"/>
    </row>
    <row r="114" spans="2:8" x14ac:dyDescent="0.3">
      <c r="B114" s="49" t="str">
        <f>IFERROR(INDEX('Position Database'!B:B,MATCH($A114,'Position Database'!$A:$A,0)),"")</f>
        <v/>
      </c>
      <c r="C114" s="50" t="str">
        <f>IFERROR(INDEX('Position Database'!C:C,MATCH($A114,'Position Database'!$A:$A,0)),"")</f>
        <v/>
      </c>
      <c r="D114" s="55"/>
      <c r="E114" s="44"/>
      <c r="G114" s="45"/>
      <c r="H114" s="60"/>
    </row>
    <row r="115" spans="2:8" x14ac:dyDescent="0.3">
      <c r="B115" s="49" t="str">
        <f>IFERROR(INDEX('Position Database'!B:B,MATCH($A115,'Position Database'!$A:$A,0)),"")</f>
        <v/>
      </c>
      <c r="C115" s="50" t="str">
        <f>IFERROR(INDEX('Position Database'!C:C,MATCH($A115,'Position Database'!$A:$A,0)),"")</f>
        <v/>
      </c>
      <c r="D115" s="55"/>
      <c r="E115" s="44"/>
      <c r="G115" s="45"/>
      <c r="H115" s="60"/>
    </row>
    <row r="116" spans="2:8" x14ac:dyDescent="0.3">
      <c r="B116" s="49" t="str">
        <f>IFERROR(INDEX('Position Database'!B:B,MATCH($A116,'Position Database'!$A:$A,0)),"")</f>
        <v/>
      </c>
      <c r="C116" s="50" t="str">
        <f>IFERROR(INDEX('Position Database'!C:C,MATCH($A116,'Position Database'!$A:$A,0)),"")</f>
        <v/>
      </c>
      <c r="D116" s="55"/>
      <c r="E116" s="44"/>
      <c r="G116" s="45"/>
      <c r="H116" s="60"/>
    </row>
    <row r="117" spans="2:8" x14ac:dyDescent="0.3">
      <c r="B117" s="49" t="str">
        <f>IFERROR(INDEX('Position Database'!B:B,MATCH($A117,'Position Database'!$A:$A,0)),"")</f>
        <v/>
      </c>
      <c r="C117" s="50" t="str">
        <f>IFERROR(INDEX('Position Database'!C:C,MATCH($A117,'Position Database'!$A:$A,0)),"")</f>
        <v/>
      </c>
      <c r="D117" s="55"/>
      <c r="E117" s="44"/>
      <c r="G117" s="45"/>
      <c r="H117" s="60"/>
    </row>
    <row r="118" spans="2:8" x14ac:dyDescent="0.3">
      <c r="B118" s="49" t="str">
        <f>IFERROR(INDEX('Position Database'!B:B,MATCH($A118,'Position Database'!$A:$A,0)),"")</f>
        <v/>
      </c>
      <c r="C118" s="50" t="str">
        <f>IFERROR(INDEX('Position Database'!C:C,MATCH($A118,'Position Database'!$A:$A,0)),"")</f>
        <v/>
      </c>
      <c r="D118" s="55"/>
      <c r="E118" s="44"/>
      <c r="G118" s="45"/>
      <c r="H118" s="60"/>
    </row>
    <row r="119" spans="2:8" x14ac:dyDescent="0.3">
      <c r="B119" s="49" t="str">
        <f>IFERROR(INDEX('Position Database'!B:B,MATCH($A119,'Position Database'!$A:$A,0)),"")</f>
        <v/>
      </c>
      <c r="C119" s="50" t="str">
        <f>IFERROR(INDEX('Position Database'!C:C,MATCH($A119,'Position Database'!$A:$A,0)),"")</f>
        <v/>
      </c>
      <c r="D119" s="55"/>
      <c r="E119" s="44"/>
      <c r="G119" s="45"/>
      <c r="H119" s="60"/>
    </row>
    <row r="120" spans="2:8" x14ac:dyDescent="0.3">
      <c r="D120" s="55"/>
      <c r="E120" s="44"/>
      <c r="G120" s="45"/>
      <c r="H120" s="60"/>
    </row>
    <row r="121" spans="2:8" x14ac:dyDescent="0.3">
      <c r="D121" s="55"/>
      <c r="E121" s="44"/>
      <c r="G121" s="45"/>
      <c r="H121" s="60"/>
    </row>
    <row r="122" spans="2:8" x14ac:dyDescent="0.3">
      <c r="D122" s="55"/>
      <c r="E122" s="44"/>
      <c r="G122" s="45"/>
      <c r="H122" s="60"/>
    </row>
    <row r="123" spans="2:8" x14ac:dyDescent="0.3">
      <c r="D123" s="55"/>
      <c r="E123" s="44"/>
      <c r="G123" s="45"/>
      <c r="H123" s="60"/>
    </row>
    <row r="124" spans="2:8" x14ac:dyDescent="0.3">
      <c r="D124" s="55"/>
      <c r="E124" s="44"/>
      <c r="G124" s="45"/>
      <c r="H124" s="60"/>
    </row>
    <row r="125" spans="2:8" x14ac:dyDescent="0.3">
      <c r="D125" s="55"/>
      <c r="E125" s="44"/>
      <c r="G125" s="45"/>
      <c r="H125" s="60"/>
    </row>
    <row r="126" spans="2:8" x14ac:dyDescent="0.3">
      <c r="D126" s="55"/>
      <c r="E126" s="44"/>
      <c r="G126" s="45"/>
      <c r="H126" s="60"/>
    </row>
    <row r="127" spans="2:8" x14ac:dyDescent="0.3">
      <c r="D127" s="55"/>
      <c r="E127" s="44"/>
      <c r="G127" s="45"/>
      <c r="H127" s="60"/>
    </row>
    <row r="128" spans="2:8" x14ac:dyDescent="0.3">
      <c r="D128" s="55"/>
      <c r="E128" s="44"/>
      <c r="G128" s="45"/>
      <c r="H128" s="60"/>
    </row>
    <row r="129" spans="4:8" x14ac:dyDescent="0.3">
      <c r="D129" s="55"/>
      <c r="E129" s="44"/>
      <c r="G129" s="45"/>
      <c r="H129" s="60"/>
    </row>
    <row r="130" spans="4:8" x14ac:dyDescent="0.3">
      <c r="D130" s="55"/>
      <c r="E130" s="44"/>
      <c r="G130" s="45"/>
      <c r="H130" s="60"/>
    </row>
    <row r="131" spans="4:8" x14ac:dyDescent="0.3">
      <c r="D131" s="55"/>
      <c r="E131" s="44"/>
      <c r="G131" s="45"/>
      <c r="H131" s="60"/>
    </row>
    <row r="132" spans="4:8" x14ac:dyDescent="0.3">
      <c r="D132" s="55"/>
      <c r="E132" s="44"/>
      <c r="G132" s="45"/>
      <c r="H132" s="60"/>
    </row>
    <row r="133" spans="4:8" x14ac:dyDescent="0.3">
      <c r="D133" s="55"/>
      <c r="E133" s="44"/>
      <c r="G133" s="45"/>
      <c r="H133" s="60"/>
    </row>
    <row r="134" spans="4:8" x14ac:dyDescent="0.3">
      <c r="D134" s="55"/>
      <c r="E134" s="44"/>
      <c r="G134" s="45"/>
      <c r="H134" s="60"/>
    </row>
    <row r="135" spans="4:8" x14ac:dyDescent="0.3">
      <c r="D135" s="55"/>
      <c r="E135" s="44"/>
      <c r="G135" s="45"/>
      <c r="H135" s="60"/>
    </row>
    <row r="136" spans="4:8" x14ac:dyDescent="0.3">
      <c r="D136" s="55"/>
      <c r="E136" s="44"/>
      <c r="G136" s="45"/>
      <c r="H136" s="60"/>
    </row>
    <row r="137" spans="4:8" x14ac:dyDescent="0.3">
      <c r="D137" s="55"/>
      <c r="E137" s="44"/>
      <c r="G137" s="45"/>
      <c r="H137" s="60"/>
    </row>
    <row r="138" spans="4:8" x14ac:dyDescent="0.3">
      <c r="D138" s="55"/>
      <c r="E138" s="44"/>
      <c r="G138" s="45"/>
      <c r="H138" s="60"/>
    </row>
    <row r="139" spans="4:8" x14ac:dyDescent="0.3">
      <c r="D139" s="55"/>
      <c r="E139" s="44"/>
      <c r="G139" s="45"/>
      <c r="H139" s="60"/>
    </row>
    <row r="140" spans="4:8" x14ac:dyDescent="0.3">
      <c r="D140" s="55"/>
      <c r="E140" s="44"/>
      <c r="G140" s="45"/>
      <c r="H140" s="60"/>
    </row>
    <row r="141" spans="4:8" x14ac:dyDescent="0.3">
      <c r="D141" s="55"/>
      <c r="E141" s="44"/>
      <c r="G141" s="45"/>
      <c r="H141" s="60"/>
    </row>
    <row r="142" spans="4:8" x14ac:dyDescent="0.3">
      <c r="D142" s="55"/>
      <c r="E142" s="44"/>
      <c r="G142" s="45"/>
      <c r="H142" s="60"/>
    </row>
    <row r="143" spans="4:8" x14ac:dyDescent="0.3">
      <c r="D143" s="55"/>
      <c r="E143" s="44"/>
      <c r="G143" s="45"/>
      <c r="H143" s="60"/>
    </row>
    <row r="144" spans="4:8" x14ac:dyDescent="0.3">
      <c r="D144" s="55"/>
      <c r="E144" s="44"/>
      <c r="G144" s="45"/>
      <c r="H144" s="60"/>
    </row>
    <row r="145" spans="4:8" x14ac:dyDescent="0.3">
      <c r="D145" s="55"/>
      <c r="E145" s="44"/>
      <c r="G145" s="45"/>
      <c r="H145" s="60"/>
    </row>
    <row r="146" spans="4:8" x14ac:dyDescent="0.3">
      <c r="D146" s="55"/>
      <c r="E146" s="44"/>
      <c r="G146" s="45"/>
      <c r="H146" s="60"/>
    </row>
    <row r="147" spans="4:8" x14ac:dyDescent="0.3">
      <c r="D147" s="55"/>
      <c r="E147" s="44"/>
      <c r="G147" s="45"/>
      <c r="H147" s="60"/>
    </row>
    <row r="148" spans="4:8" x14ac:dyDescent="0.3">
      <c r="D148" s="55"/>
      <c r="E148" s="44"/>
      <c r="G148" s="45"/>
      <c r="H148" s="60"/>
    </row>
    <row r="149" spans="4:8" x14ac:dyDescent="0.3">
      <c r="D149" s="55"/>
      <c r="E149" s="44"/>
      <c r="G149" s="45"/>
      <c r="H149" s="60"/>
    </row>
    <row r="150" spans="4:8" x14ac:dyDescent="0.3">
      <c r="D150" s="55"/>
      <c r="E150" s="44"/>
      <c r="G150" s="45"/>
      <c r="H150" s="60"/>
    </row>
    <row r="151" spans="4:8" x14ac:dyDescent="0.3">
      <c r="D151" s="55"/>
      <c r="E151" s="44"/>
      <c r="G151" s="45"/>
      <c r="H151" s="60"/>
    </row>
    <row r="152" spans="4:8" x14ac:dyDescent="0.3">
      <c r="D152" s="55"/>
      <c r="E152" s="44"/>
      <c r="G152" s="45"/>
      <c r="H152" s="60"/>
    </row>
    <row r="153" spans="4:8" x14ac:dyDescent="0.3">
      <c r="D153" s="55"/>
      <c r="E153" s="44"/>
      <c r="G153" s="45"/>
      <c r="H153" s="60"/>
    </row>
    <row r="154" spans="4:8" x14ac:dyDescent="0.3">
      <c r="D154" s="55"/>
      <c r="E154" s="44"/>
      <c r="G154" s="45"/>
      <c r="H154" s="60"/>
    </row>
    <row r="155" spans="4:8" x14ac:dyDescent="0.3">
      <c r="D155" s="55"/>
      <c r="E155" s="44"/>
      <c r="G155" s="45"/>
      <c r="H155" s="60"/>
    </row>
    <row r="156" spans="4:8" x14ac:dyDescent="0.3">
      <c r="D156" s="55"/>
      <c r="E156" s="44"/>
      <c r="G156" s="45"/>
      <c r="H156" s="60"/>
    </row>
    <row r="157" spans="4:8" x14ac:dyDescent="0.3">
      <c r="D157" s="55"/>
      <c r="E157" s="44"/>
      <c r="G157" s="45"/>
      <c r="H157" s="60"/>
    </row>
    <row r="158" spans="4:8" x14ac:dyDescent="0.3">
      <c r="D158" s="55"/>
      <c r="E158" s="44"/>
      <c r="G158" s="45"/>
      <c r="H158" s="60"/>
    </row>
    <row r="159" spans="4:8" x14ac:dyDescent="0.3">
      <c r="D159" s="55"/>
      <c r="E159" s="44"/>
      <c r="G159" s="45"/>
      <c r="H159" s="60"/>
    </row>
    <row r="160" spans="4:8" x14ac:dyDescent="0.3">
      <c r="D160" s="55"/>
      <c r="E160" s="44"/>
      <c r="G160" s="45"/>
      <c r="H160" s="60"/>
    </row>
    <row r="161" spans="4:8" x14ac:dyDescent="0.3">
      <c r="D161" s="55"/>
      <c r="E161" s="44"/>
      <c r="G161" s="45"/>
      <c r="H161" s="60"/>
    </row>
    <row r="162" spans="4:8" x14ac:dyDescent="0.3">
      <c r="D162" s="55"/>
      <c r="E162" s="44"/>
      <c r="G162" s="45"/>
      <c r="H162" s="60"/>
    </row>
    <row r="163" spans="4:8" x14ac:dyDescent="0.3">
      <c r="D163" s="55"/>
      <c r="E163" s="44"/>
      <c r="G163" s="45"/>
      <c r="H163" s="60"/>
    </row>
    <row r="164" spans="4:8" x14ac:dyDescent="0.3">
      <c r="D164" s="55"/>
      <c r="E164" s="44"/>
      <c r="G164" s="45"/>
      <c r="H164" s="60"/>
    </row>
    <row r="165" spans="4:8" x14ac:dyDescent="0.3">
      <c r="D165" s="55"/>
      <c r="E165" s="44"/>
      <c r="G165" s="45"/>
      <c r="H165" s="60"/>
    </row>
    <row r="166" spans="4:8" x14ac:dyDescent="0.3">
      <c r="D166" s="55"/>
      <c r="E166" s="44"/>
      <c r="G166" s="45"/>
      <c r="H166" s="60"/>
    </row>
    <row r="167" spans="4:8" x14ac:dyDescent="0.3">
      <c r="D167" s="55"/>
      <c r="E167" s="44"/>
      <c r="G167" s="45"/>
      <c r="H167" s="60"/>
    </row>
    <row r="168" spans="4:8" x14ac:dyDescent="0.3">
      <c r="D168" s="55"/>
      <c r="E168" s="44"/>
      <c r="G168" s="45"/>
      <c r="H168" s="60"/>
    </row>
    <row r="169" spans="4:8" x14ac:dyDescent="0.3">
      <c r="D169" s="55"/>
      <c r="E169" s="44"/>
      <c r="G169" s="45"/>
      <c r="H169" s="60"/>
    </row>
    <row r="170" spans="4:8" x14ac:dyDescent="0.3">
      <c r="D170" s="55"/>
      <c r="E170" s="44"/>
      <c r="G170" s="45"/>
      <c r="H170" s="60"/>
    </row>
    <row r="171" spans="4:8" x14ac:dyDescent="0.3">
      <c r="D171" s="55"/>
      <c r="E171" s="44"/>
      <c r="G171" s="45"/>
      <c r="H171" s="60"/>
    </row>
    <row r="172" spans="4:8" x14ac:dyDescent="0.3">
      <c r="D172" s="55"/>
      <c r="E172" s="44"/>
      <c r="G172" s="45"/>
      <c r="H172" s="60"/>
    </row>
    <row r="173" spans="4:8" x14ac:dyDescent="0.3">
      <c r="D173" s="55"/>
      <c r="E173" s="44"/>
      <c r="G173" s="45"/>
      <c r="H173" s="60"/>
    </row>
    <row r="174" spans="4:8" x14ac:dyDescent="0.3">
      <c r="D174" s="55"/>
      <c r="E174" s="44"/>
      <c r="G174" s="45"/>
      <c r="H174" s="60"/>
    </row>
    <row r="175" spans="4:8" x14ac:dyDescent="0.3">
      <c r="D175" s="55"/>
      <c r="E175" s="44"/>
      <c r="G175" s="45"/>
      <c r="H175" s="60"/>
    </row>
    <row r="176" spans="4:8" x14ac:dyDescent="0.3">
      <c r="D176" s="55"/>
      <c r="E176" s="44"/>
      <c r="G176" s="45"/>
      <c r="H176" s="60"/>
    </row>
    <row r="177" spans="4:8" x14ac:dyDescent="0.3">
      <c r="D177" s="55"/>
      <c r="E177" s="44"/>
      <c r="G177" s="45"/>
      <c r="H177" s="60"/>
    </row>
    <row r="178" spans="4:8" x14ac:dyDescent="0.3">
      <c r="D178" s="55"/>
      <c r="E178" s="44"/>
      <c r="G178" s="45"/>
      <c r="H178" s="60"/>
    </row>
    <row r="179" spans="4:8" x14ac:dyDescent="0.3">
      <c r="D179" s="55"/>
      <c r="E179" s="44"/>
      <c r="G179" s="45"/>
      <c r="H179" s="60"/>
    </row>
    <row r="180" spans="4:8" x14ac:dyDescent="0.3">
      <c r="D180" s="55"/>
      <c r="E180" s="44"/>
      <c r="G180" s="45"/>
      <c r="H180" s="60"/>
    </row>
    <row r="181" spans="4:8" x14ac:dyDescent="0.3">
      <c r="D181" s="55"/>
      <c r="E181" s="44"/>
      <c r="G181" s="45"/>
      <c r="H181" s="60"/>
    </row>
    <row r="182" spans="4:8" x14ac:dyDescent="0.3">
      <c r="D182" s="55"/>
      <c r="E182" s="44"/>
      <c r="G182" s="45"/>
      <c r="H182" s="60"/>
    </row>
    <row r="183" spans="4:8" x14ac:dyDescent="0.3">
      <c r="D183" s="55"/>
      <c r="E183" s="44"/>
      <c r="G183" s="45"/>
      <c r="H183" s="60"/>
    </row>
    <row r="184" spans="4:8" x14ac:dyDescent="0.3">
      <c r="D184" s="55"/>
      <c r="E184" s="44"/>
      <c r="G184" s="45"/>
      <c r="H184" s="60"/>
    </row>
    <row r="185" spans="4:8" x14ac:dyDescent="0.3">
      <c r="D185" s="55"/>
      <c r="E185" s="44"/>
      <c r="G185" s="45"/>
      <c r="H185" s="60"/>
    </row>
    <row r="186" spans="4:8" x14ac:dyDescent="0.3">
      <c r="D186" s="55"/>
      <c r="E186" s="44"/>
      <c r="G186" s="45"/>
      <c r="H186" s="60"/>
    </row>
    <row r="187" spans="4:8" x14ac:dyDescent="0.3">
      <c r="D187" s="55"/>
      <c r="E187" s="44"/>
      <c r="G187" s="45"/>
      <c r="H187" s="60"/>
    </row>
    <row r="188" spans="4:8" x14ac:dyDescent="0.3">
      <c r="D188" s="55"/>
      <c r="E188" s="44"/>
      <c r="G188" s="45"/>
      <c r="H188" s="60"/>
    </row>
    <row r="189" spans="4:8" x14ac:dyDescent="0.3">
      <c r="D189" s="55"/>
      <c r="E189" s="44"/>
      <c r="G189" s="45"/>
      <c r="H189" s="60"/>
    </row>
    <row r="190" spans="4:8" x14ac:dyDescent="0.3">
      <c r="D190" s="55"/>
      <c r="E190" s="44"/>
      <c r="G190" s="45"/>
      <c r="H190" s="60"/>
    </row>
    <row r="191" spans="4:8" x14ac:dyDescent="0.3">
      <c r="D191" s="55"/>
      <c r="E191" s="44"/>
      <c r="G191" s="45"/>
      <c r="H191" s="60"/>
    </row>
    <row r="192" spans="4:8" x14ac:dyDescent="0.3">
      <c r="D192" s="55"/>
      <c r="E192" s="44"/>
      <c r="G192" s="45"/>
      <c r="H192" s="60"/>
    </row>
    <row r="193" spans="4:8" x14ac:dyDescent="0.3">
      <c r="D193" s="55"/>
      <c r="E193" s="44"/>
      <c r="G193" s="45"/>
      <c r="H193" s="60"/>
    </row>
    <row r="194" spans="4:8" x14ac:dyDescent="0.3">
      <c r="D194" s="55"/>
      <c r="E194" s="44"/>
      <c r="G194" s="45"/>
      <c r="H194" s="60"/>
    </row>
    <row r="195" spans="4:8" x14ac:dyDescent="0.3">
      <c r="D195" s="55"/>
      <c r="E195" s="44"/>
      <c r="G195" s="45"/>
      <c r="H195" s="60"/>
    </row>
    <row r="196" spans="4:8" x14ac:dyDescent="0.3">
      <c r="D196" s="55"/>
      <c r="E196" s="44"/>
      <c r="G196" s="45"/>
      <c r="H196" s="60"/>
    </row>
    <row r="197" spans="4:8" x14ac:dyDescent="0.3">
      <c r="D197" s="55"/>
      <c r="E197" s="44"/>
      <c r="G197" s="45"/>
      <c r="H197" s="60"/>
    </row>
    <row r="198" spans="4:8" x14ac:dyDescent="0.3">
      <c r="D198" s="55"/>
      <c r="E198" s="44"/>
      <c r="G198" s="45"/>
      <c r="H198" s="60"/>
    </row>
    <row r="199" spans="4:8" x14ac:dyDescent="0.3">
      <c r="D199" s="55"/>
      <c r="E199" s="44"/>
      <c r="G199" s="45"/>
      <c r="H199" s="60"/>
    </row>
    <row r="200" spans="4:8" x14ac:dyDescent="0.3">
      <c r="D200" s="55"/>
      <c r="E200" s="44"/>
      <c r="G200" s="45"/>
      <c r="H200" s="60"/>
    </row>
  </sheetData>
  <mergeCells count="3">
    <mergeCell ref="A1:I1"/>
    <mergeCell ref="A2:G2"/>
    <mergeCell ref="H2:I2"/>
  </mergeCells>
  <conditionalFormatting sqref="A4:I119">
    <cfRule type="expression" dxfId="4" priority="1">
      <formula>$E4="Interview Invitation"</formula>
    </cfRule>
    <cfRule type="expression" dxfId="3" priority="2">
      <formula>$E4="Accepted"</formula>
    </cfRule>
  </conditionalFormatting>
  <dataValidations count="2">
    <dataValidation type="list" allowBlank="1" sqref="E4:E119" xr:uid="{00000000-0002-0000-0300-000000000000}">
      <formula1>"Sent,No Reply,Positive Reply,Neutral Reply,Rejected,Interview Invitation,Accepted"</formula1>
    </dataValidation>
    <dataValidation type="list" allowBlank="1" sqref="H4:H119" xr:uid="{00000000-0002-0000-0300-000001000000}">
      <formula1>"Proposal Requested,Interview Scheduled,Waitlisted,Rejected,Accepted,Pending,Closed,Info Received"</formula1>
    </dataValidation>
  </dataValidations>
  <hyperlinks>
    <hyperlink ref="H2" location="'Dashboard'!A1" display="◀ Back to Dashboard" xr:uid="{00000000-0004-0000-0300-000000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2000000}">
          <x14:formula1>
            <xm:f>'Position Database'!$A$4:$A$200</xm:f>
          </x14:formula1>
          <xm:sqref>A4:A119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8C00"/>
  </sheetPr>
  <dimension ref="A1:H200"/>
  <sheetViews>
    <sheetView showGridLines="0" workbookViewId="0">
      <pane ySplit="3" topLeftCell="A4" activePane="bottomLeft" state="frozen"/>
      <selection pane="bottomLeft"/>
    </sheetView>
  </sheetViews>
  <sheetFormatPr defaultRowHeight="14.4" x14ac:dyDescent="0.3"/>
  <cols>
    <col min="1" max="1" width="6" customWidth="1"/>
    <col min="2" max="2" width="42" customWidth="1"/>
    <col min="3" max="3" width="26" customWidth="1"/>
    <col min="4" max="4" width="11" customWidth="1"/>
    <col min="5" max="5" width="13" customWidth="1"/>
    <col min="6" max="6" width="14" customWidth="1"/>
    <col min="7" max="7" width="19" customWidth="1"/>
    <col min="8" max="8" width="46" customWidth="1"/>
  </cols>
  <sheetData>
    <row r="1" spans="1:8" ht="34.049999999999997" customHeight="1" x14ac:dyDescent="0.3">
      <c r="A1" s="78" t="s">
        <v>229</v>
      </c>
      <c r="B1" s="69"/>
      <c r="C1" s="69"/>
      <c r="D1" s="69"/>
      <c r="E1" s="69"/>
      <c r="F1" s="69"/>
      <c r="G1" s="69"/>
      <c r="H1" s="69"/>
    </row>
    <row r="2" spans="1:8" ht="19.95" customHeight="1" x14ac:dyDescent="0.3">
      <c r="A2" s="79" t="s">
        <v>230</v>
      </c>
      <c r="B2" s="69"/>
      <c r="C2" s="69"/>
      <c r="D2" s="69"/>
      <c r="E2" s="69"/>
      <c r="F2" s="69"/>
      <c r="G2" s="80" t="s">
        <v>63</v>
      </c>
      <c r="H2" s="69"/>
    </row>
    <row r="3" spans="1:8" ht="34.049999999999997" customHeight="1" x14ac:dyDescent="0.3">
      <c r="A3" s="30" t="s">
        <v>55</v>
      </c>
      <c r="B3" s="30" t="s">
        <v>56</v>
      </c>
      <c r="C3" s="30" t="s">
        <v>57</v>
      </c>
      <c r="D3" s="30" t="s">
        <v>58</v>
      </c>
      <c r="E3" s="30" t="s">
        <v>186</v>
      </c>
      <c r="F3" s="30" t="s">
        <v>59</v>
      </c>
      <c r="G3" s="30" t="s">
        <v>36</v>
      </c>
      <c r="H3" s="30" t="s">
        <v>231</v>
      </c>
    </row>
    <row r="4" spans="1:8" ht="24" customHeight="1" x14ac:dyDescent="0.3">
      <c r="A4" s="61">
        <f>IF('Communication Tracker'!B4="","",1)</f>
        <v>1</v>
      </c>
      <c r="B4" s="39" t="str">
        <f>IF('Communication Tracker'!B4="","",'Communication Tracker'!B4)</f>
        <v>Post Doc: Learning Interactions in Collective Cell Migration</v>
      </c>
      <c r="C4" s="36" t="str">
        <f>IF('Communication Tracker'!C4="","",'Communication Tracker'!C4)</f>
        <v>Vrije Universiteit Amsterdam</v>
      </c>
      <c r="D4" s="62" t="str">
        <f ca="1">IFERROR(IF(ISNUMBER('Communication Tracker'!M4),'Communication Tracker'!M4,""),"")</f>
        <v/>
      </c>
      <c r="E4" s="40">
        <f>IFERROR('Communication Tracker'!L4,"")</f>
        <v>46267</v>
      </c>
      <c r="F4" s="40" t="str">
        <f>IFERROR(IF(ISNUMBER('Communication Tracker'!N4),'Communication Tracker'!N4,""),"")</f>
        <v/>
      </c>
      <c r="G4" s="34" t="str">
        <f>IF('Communication Tracker'!O4="","",'Communication Tracker'!O4)</f>
        <v>Positive Reply</v>
      </c>
      <c r="H4" s="39" t="str">
        <f>IF('Communication Tracker'!B4="","",IF(OR('Communication Tracker'!O4="Positive Reply",'Communication Tracker'!O4="Accepted",'Communication Tracker'!O4="Rejected"),"Case closed - no action needed",IF(ISNUMBER('Communication Tracker'!M4),IF('Communication Tracker'!M4&gt;14,"URGENT - send a follow-up today",IF('Communication Tracker'!M4&gt;=7,"Prepare follow-up - send within "&amp;(14-'Communication Tracker'!M4)&amp;" days","Monitoring - next follow-up in "&amp;(14-'Communication Tracker'!M4)&amp;" days")),"")))</f>
        <v>Case closed - no action needed</v>
      </c>
    </row>
    <row r="5" spans="1:8" ht="24" customHeight="1" x14ac:dyDescent="0.3">
      <c r="A5" s="61">
        <f>IF('Communication Tracker'!B5="","",2)</f>
        <v>2</v>
      </c>
      <c r="B5" s="39" t="str">
        <f>IF('Communication Tracker'!B5="","",'Communication Tracker'!B5)</f>
        <v>MSCA-DN PhD in Pharmacological Therapy for Leukodystrophies</v>
      </c>
      <c r="C5" s="36" t="str">
        <f>IF('Communication Tracker'!C5="","",'Communication Tracker'!C5)</f>
        <v>Amsterdam UMC</v>
      </c>
      <c r="D5" s="62">
        <f ca="1">IFERROR(IF(ISNUMBER('Communication Tracker'!M5),'Communication Tracker'!M5,""),"")</f>
        <v>35</v>
      </c>
      <c r="E5" s="40">
        <f>IFERROR('Communication Tracker'!L5,"")</f>
        <v>46258</v>
      </c>
      <c r="F5" s="40">
        <f>IFERROR(IF(ISNUMBER('Communication Tracker'!N5),'Communication Tracker'!N5,""),"")</f>
        <v>46272</v>
      </c>
      <c r="G5" s="34" t="str">
        <f>IF('Communication Tracker'!O5="","",'Communication Tracker'!O5)</f>
        <v>No Reply</v>
      </c>
      <c r="H5" s="39" t="str">
        <f ca="1">IF('Communication Tracker'!B5="","",IF(OR('Communication Tracker'!O5="Positive Reply",'Communication Tracker'!O5="Accepted",'Communication Tracker'!O5="Rejected"),"Case closed - no action needed",IF(ISNUMBER('Communication Tracker'!M5),IF('Communication Tracker'!M5&gt;14,"URGENT - send a follow-up today",IF('Communication Tracker'!M5&gt;=7,"Prepare follow-up - send within "&amp;(14-'Communication Tracker'!M5)&amp;" days","Monitoring - next follow-up in "&amp;(14-'Communication Tracker'!M5)&amp;" days")),"")))</f>
        <v>URGENT - send a follow-up today</v>
      </c>
    </row>
    <row r="6" spans="1:8" ht="24" customHeight="1" x14ac:dyDescent="0.3">
      <c r="A6" s="61">
        <f>IF('Communication Tracker'!B6="","",3)</f>
        <v>3</v>
      </c>
      <c r="B6" s="39" t="str">
        <f>IF('Communication Tracker'!B6="","",'Communication Tracker'!B6)</f>
        <v>PhD Positions in Human-Centred Artificial Intelligence</v>
      </c>
      <c r="C6" s="36" t="str">
        <f>IF('Communication Tracker'!C6="","",'Communication Tracker'!C6)</f>
        <v>Aalborg University</v>
      </c>
      <c r="D6" s="62">
        <f ca="1">IFERROR(IF(ISNUMBER('Communication Tracker'!M6),'Communication Tracker'!M6,""),"")</f>
        <v>13</v>
      </c>
      <c r="E6" s="40">
        <f>IFERROR('Communication Tracker'!L6,"")</f>
        <v>46280</v>
      </c>
      <c r="F6" s="40">
        <f>IFERROR(IF(ISNUMBER('Communication Tracker'!N6),'Communication Tracker'!N6,""),"")</f>
        <v>46294</v>
      </c>
      <c r="G6" s="34" t="str">
        <f>IF('Communication Tracker'!O6="","",'Communication Tracker'!O6)</f>
        <v>Sent</v>
      </c>
      <c r="H6" s="39" t="str">
        <f ca="1">IF('Communication Tracker'!B6="","",IF(OR('Communication Tracker'!O6="Positive Reply",'Communication Tracker'!O6="Accepted",'Communication Tracker'!O6="Rejected"),"Case closed - no action needed",IF(ISNUMBER('Communication Tracker'!M6),IF('Communication Tracker'!M6&gt;14,"URGENT - send a follow-up today",IF('Communication Tracker'!M6&gt;=7,"Prepare follow-up - send within "&amp;(14-'Communication Tracker'!M6)&amp;" days","Monitoring - next follow-up in "&amp;(14-'Communication Tracker'!M6)&amp;" days")),"")))</f>
        <v>Prepare follow-up - send within 1 days</v>
      </c>
    </row>
    <row r="7" spans="1:8" ht="24" customHeight="1" x14ac:dyDescent="0.3">
      <c r="A7" s="61">
        <f>IF('Communication Tracker'!B7="","",4)</f>
        <v>4</v>
      </c>
      <c r="B7" s="39" t="str">
        <f>IF('Communication Tracker'!B7="","",'Communication Tracker'!B7)</f>
        <v>PhD Candidate: Multi-Methods Project on Negation Across Languages</v>
      </c>
      <c r="C7" s="36" t="str">
        <f>IF('Communication Tracker'!C7="","",'Communication Tracker'!C7)</f>
        <v>University of Amsterdam</v>
      </c>
      <c r="D7" s="62">
        <f ca="1">IFERROR(IF(ISNUMBER('Communication Tracker'!M7),'Communication Tracker'!M7,""),"")</f>
        <v>33</v>
      </c>
      <c r="E7" s="40">
        <f>IFERROR('Communication Tracker'!L7,"")</f>
        <v>46260</v>
      </c>
      <c r="F7" s="40">
        <f>IFERROR(IF(ISNUMBER('Communication Tracker'!N7),'Communication Tracker'!N7,""),"")</f>
        <v>46274</v>
      </c>
      <c r="G7" s="34" t="str">
        <f>IF('Communication Tracker'!O7="","",'Communication Tracker'!O7)</f>
        <v>Neutral Reply</v>
      </c>
      <c r="H7" s="39" t="str">
        <f ca="1">IF('Communication Tracker'!B7="","",IF(OR('Communication Tracker'!O7="Positive Reply",'Communication Tracker'!O7="Accepted",'Communication Tracker'!O7="Rejected"),"Case closed - no action needed",IF(ISNUMBER('Communication Tracker'!M7),IF('Communication Tracker'!M7&gt;14,"URGENT - send a follow-up today",IF('Communication Tracker'!M7&gt;=7,"Prepare follow-up - send within "&amp;(14-'Communication Tracker'!M7)&amp;" days","Monitoring - next follow-up in "&amp;(14-'Communication Tracker'!M7)&amp;" days")),"")))</f>
        <v>URGENT - send a follow-up today</v>
      </c>
    </row>
    <row r="8" spans="1:8" ht="24" customHeight="1" x14ac:dyDescent="0.3">
      <c r="A8" s="61">
        <f>IF('Communication Tracker'!B8="","",5)</f>
        <v>5</v>
      </c>
      <c r="B8" s="39" t="str">
        <f>IF('Communication Tracker'!B8="","",'Communication Tracker'!B8)</f>
        <v>PhD Position: Beyond the Odds - Pathways to Gambling-Related Harm</v>
      </c>
      <c r="C8" s="36" t="str">
        <f>IF('Communication Tracker'!C8="","",'Communication Tracker'!C8)</f>
        <v>Radboud University</v>
      </c>
      <c r="D8" s="62" t="str">
        <f ca="1">IFERROR(IF(ISNUMBER('Communication Tracker'!M8),'Communication Tracker'!M8,""),"")</f>
        <v/>
      </c>
      <c r="E8" s="40">
        <f>IFERROR('Communication Tracker'!L8,"")</f>
        <v>46273</v>
      </c>
      <c r="F8" s="40" t="str">
        <f>IFERROR(IF(ISNUMBER('Communication Tracker'!N8),'Communication Tracker'!N8,""),"")</f>
        <v/>
      </c>
      <c r="G8" s="34" t="str">
        <f>IF('Communication Tracker'!O8="","",'Communication Tracker'!O8)</f>
        <v>Rejected</v>
      </c>
      <c r="H8" s="39" t="str">
        <f>IF('Communication Tracker'!B8="","",IF(OR('Communication Tracker'!O8="Positive Reply",'Communication Tracker'!O8="Accepted",'Communication Tracker'!O8="Rejected"),"Case closed - no action needed",IF(ISNUMBER('Communication Tracker'!M8),IF('Communication Tracker'!M8&gt;14,"URGENT - send a follow-up today",IF('Communication Tracker'!M8&gt;=7,"Prepare follow-up - send within "&amp;(14-'Communication Tracker'!M8)&amp;" days","Monitoring - next follow-up in "&amp;(14-'Communication Tracker'!M8)&amp;" days")),"")))</f>
        <v>Case closed - no action needed</v>
      </c>
    </row>
    <row r="9" spans="1:8" ht="24" customHeight="1" x14ac:dyDescent="0.3">
      <c r="A9" s="61">
        <f>IF('Communication Tracker'!B9="","",6)</f>
        <v>6</v>
      </c>
      <c r="B9" s="39" t="str">
        <f>IF('Communication Tracker'!B9="","",'Communication Tracker'!B9)</f>
        <v>PhD Position in Time-Reflection of Subwavelength THz Waves</v>
      </c>
      <c r="C9" s="36" t="str">
        <f>IF('Communication Tracker'!C9="","",'Communication Tracker'!C9)</f>
        <v>ETH Zurich</v>
      </c>
      <c r="D9" s="62">
        <f ca="1">IFERROR(IF(ISNUMBER('Communication Tracker'!M9),'Communication Tracker'!M9,""),"")</f>
        <v>13</v>
      </c>
      <c r="E9" s="40">
        <f>IFERROR('Communication Tracker'!L9,"")</f>
        <v>46280</v>
      </c>
      <c r="F9" s="40">
        <f>IFERROR(IF(ISNUMBER('Communication Tracker'!N9),'Communication Tracker'!N9,""),"")</f>
        <v>46294</v>
      </c>
      <c r="G9" s="34" t="str">
        <f>IF('Communication Tracker'!O9="","",'Communication Tracker'!O9)</f>
        <v>Interview Invitation</v>
      </c>
      <c r="H9" s="39" t="str">
        <f ca="1">IF('Communication Tracker'!B9="","",IF(OR('Communication Tracker'!O9="Positive Reply",'Communication Tracker'!O9="Accepted",'Communication Tracker'!O9="Rejected"),"Case closed - no action needed",IF(ISNUMBER('Communication Tracker'!M9),IF('Communication Tracker'!M9&gt;14,"URGENT - send a follow-up today",IF('Communication Tracker'!M9&gt;=7,"Prepare follow-up - send within "&amp;(14-'Communication Tracker'!M9)&amp;" days","Monitoring - next follow-up in "&amp;(14-'Communication Tracker'!M9)&amp;" days")),"")))</f>
        <v>Prepare follow-up - send within 1 days</v>
      </c>
    </row>
    <row r="10" spans="1:8" ht="24" customHeight="1" x14ac:dyDescent="0.3">
      <c r="A10" s="61">
        <f>IF('Communication Tracker'!B10="","",7)</f>
        <v>7</v>
      </c>
      <c r="B10" s="39" t="str">
        <f>IF('Communication Tracker'!B10="","",'Communication Tracker'!B10)</f>
        <v>Postdoc in Machine Learning and Surrogate Modelling</v>
      </c>
      <c r="C10" s="36" t="str">
        <f>IF('Communication Tracker'!C10="","",'Communication Tracker'!C10)</f>
        <v>University of Luxembourg</v>
      </c>
      <c r="D10" s="62">
        <f ca="1">IFERROR(IF(ISNUMBER('Communication Tracker'!M10),'Communication Tracker'!M10,""),"")</f>
        <v>10</v>
      </c>
      <c r="E10" s="40">
        <f>IFERROR('Communication Tracker'!L10,"")</f>
        <v>46283</v>
      </c>
      <c r="F10" s="40">
        <f>IFERROR(IF(ISNUMBER('Communication Tracker'!N10),'Communication Tracker'!N10,""),"")</f>
        <v>46297</v>
      </c>
      <c r="G10" s="34" t="str">
        <f>IF('Communication Tracker'!O10="","",'Communication Tracker'!O10)</f>
        <v>Sent</v>
      </c>
      <c r="H10" s="39" t="str">
        <f ca="1">IF('Communication Tracker'!B10="","",IF(OR('Communication Tracker'!O10="Positive Reply",'Communication Tracker'!O10="Accepted",'Communication Tracker'!O10="Rejected"),"Case closed - no action needed",IF(ISNUMBER('Communication Tracker'!M10),IF('Communication Tracker'!M10&gt;14,"URGENT - send a follow-up today",IF('Communication Tracker'!M10&gt;=7,"Prepare follow-up - send within "&amp;(14-'Communication Tracker'!M10)&amp;" days","Monitoring - next follow-up in "&amp;(14-'Communication Tracker'!M10)&amp;" days")),"")))</f>
        <v>Prepare follow-up - send within 4 days</v>
      </c>
    </row>
    <row r="11" spans="1:8" ht="24" customHeight="1" x14ac:dyDescent="0.3">
      <c r="A11" s="61">
        <f>IF('Communication Tracker'!B11="","",8)</f>
        <v>8</v>
      </c>
      <c r="B11" s="39" t="str">
        <f>IF('Communication Tracker'!B11="","",'Communication Tracker'!B11)</f>
        <v>PhD: Microfluidics to Observe and Manipulate Coacervate Droplets</v>
      </c>
      <c r="C11" s="36" t="str">
        <f>IF('Communication Tracker'!C11="","",'Communication Tracker'!C11)</f>
        <v>University of Groningen</v>
      </c>
      <c r="D11" s="62">
        <f ca="1">IFERROR(IF(ISNUMBER('Communication Tracker'!M11),'Communication Tracker'!M11,""),"")</f>
        <v>25</v>
      </c>
      <c r="E11" s="40">
        <f>IFERROR('Communication Tracker'!L11,"")</f>
        <v>46268</v>
      </c>
      <c r="F11" s="40">
        <f>IFERROR(IF(ISNUMBER('Communication Tracker'!N11),'Communication Tracker'!N11,""),"")</f>
        <v>46282</v>
      </c>
      <c r="G11" s="34" t="str">
        <f>IF('Communication Tracker'!O11="","",'Communication Tracker'!O11)</f>
        <v>No Reply</v>
      </c>
      <c r="H11" s="39" t="str">
        <f ca="1">IF('Communication Tracker'!B11="","",IF(OR('Communication Tracker'!O11="Positive Reply",'Communication Tracker'!O11="Accepted",'Communication Tracker'!O11="Rejected"),"Case closed - no action needed",IF(ISNUMBER('Communication Tracker'!M11),IF('Communication Tracker'!M11&gt;14,"URGENT - send a follow-up today",IF('Communication Tracker'!M11&gt;=7,"Prepare follow-up - send within "&amp;(14-'Communication Tracker'!M11)&amp;" days","Monitoring - next follow-up in "&amp;(14-'Communication Tracker'!M11)&amp;" days")),"")))</f>
        <v>URGENT - send a follow-up today</v>
      </c>
    </row>
    <row r="12" spans="1:8" ht="24" customHeight="1" x14ac:dyDescent="0.3">
      <c r="A12" s="61">
        <f>IF('Communication Tracker'!B12="","",9)</f>
        <v>9</v>
      </c>
      <c r="B12" s="39" t="str">
        <f>IF('Communication Tracker'!B12="","",'Communication Tracker'!B12)</f>
        <v>Two Postdoctoral Positions in Mitochondrial Cell Biology</v>
      </c>
      <c r="C12" s="36" t="str">
        <f>IF('Communication Tracker'!C12="","",'Communication Tracker'!C12)</f>
        <v>Institut Imagine</v>
      </c>
      <c r="D12" s="62" t="str">
        <f ca="1">IFERROR(IF(ISNUMBER('Communication Tracker'!M12),'Communication Tracker'!M12,""),"")</f>
        <v/>
      </c>
      <c r="E12" s="40">
        <f>IFERROR('Communication Tracker'!L12,"")</f>
        <v>46273</v>
      </c>
      <c r="F12" s="40" t="str">
        <f>IFERROR(IF(ISNUMBER('Communication Tracker'!N12),'Communication Tracker'!N12,""),"")</f>
        <v/>
      </c>
      <c r="G12" s="34" t="str">
        <f>IF('Communication Tracker'!O12="","",'Communication Tracker'!O12)</f>
        <v>Positive Reply</v>
      </c>
      <c r="H12" s="39" t="str">
        <f>IF('Communication Tracker'!B12="","",IF(OR('Communication Tracker'!O12="Positive Reply",'Communication Tracker'!O12="Accepted",'Communication Tracker'!O12="Rejected"),"Case closed - no action needed",IF(ISNUMBER('Communication Tracker'!M12),IF('Communication Tracker'!M12&gt;14,"URGENT - send a follow-up today",IF('Communication Tracker'!M12&gt;=7,"Prepare follow-up - send within "&amp;(14-'Communication Tracker'!M12)&amp;" days","Monitoring - next follow-up in "&amp;(14-'Communication Tracker'!M12)&amp;" days")),"")))</f>
        <v>Case closed - no action needed</v>
      </c>
    </row>
    <row r="13" spans="1:8" ht="24" customHeight="1" x14ac:dyDescent="0.3">
      <c r="A13" s="61">
        <f>IF('Communication Tracker'!B13="","",10)</f>
        <v>10</v>
      </c>
      <c r="B13" s="39" t="str">
        <f>IF('Communication Tracker'!B13="","",'Communication Tracker'!B13)</f>
        <v>Doctoral Student in Environmental Law Specialising in Nuclear Power</v>
      </c>
      <c r="C13" s="36" t="str">
        <f>IF('Communication Tracker'!C13="","",'Communication Tracker'!C13)</f>
        <v>Uppsala University</v>
      </c>
      <c r="D13" s="62" t="str">
        <f ca="1">IFERROR(IF(ISNUMBER('Communication Tracker'!M13),'Communication Tracker'!M13,""),"")</f>
        <v/>
      </c>
      <c r="E13" s="40">
        <f>IFERROR('Communication Tracker'!L13,"")</f>
        <v>46251</v>
      </c>
      <c r="F13" s="40" t="str">
        <f>IFERROR(IF(ISNUMBER('Communication Tracker'!N13),'Communication Tracker'!N13,""),"")</f>
        <v/>
      </c>
      <c r="G13" s="34" t="str">
        <f>IF('Communication Tracker'!O13="","",'Communication Tracker'!O13)</f>
        <v>Accepted</v>
      </c>
      <c r="H13" s="39" t="str">
        <f>IF('Communication Tracker'!B13="","",IF(OR('Communication Tracker'!O13="Positive Reply",'Communication Tracker'!O13="Accepted",'Communication Tracker'!O13="Rejected"),"Case closed - no action needed",IF(ISNUMBER('Communication Tracker'!M13),IF('Communication Tracker'!M13&gt;14,"URGENT - send a follow-up today",IF('Communication Tracker'!M13&gt;=7,"Prepare follow-up - send within "&amp;(14-'Communication Tracker'!M13)&amp;" days","Monitoring - next follow-up in "&amp;(14-'Communication Tracker'!M13)&amp;" days")),"")))</f>
        <v>Case closed - no action needed</v>
      </c>
    </row>
    <row r="14" spans="1:8" ht="24" customHeight="1" x14ac:dyDescent="0.3">
      <c r="A14" s="61">
        <f>IF('Communication Tracker'!B14="","",11)</f>
        <v>11</v>
      </c>
      <c r="B14" s="39" t="str">
        <f>IF('Communication Tracker'!B14="","",'Communication Tracker'!B14)</f>
        <v>PhD in Integrated Circuit Group on Transceivers for Optical Communications</v>
      </c>
      <c r="C14" s="36" t="str">
        <f>IF('Communication Tracker'!C14="","",'Communication Tracker'!C14)</f>
        <v>Eindhoven University of Technology</v>
      </c>
      <c r="D14" s="62">
        <f ca="1">IFERROR(IF(ISNUMBER('Communication Tracker'!M14),'Communication Tracker'!M14,""),"")</f>
        <v>8</v>
      </c>
      <c r="E14" s="40">
        <f>IFERROR('Communication Tracker'!L14,"")</f>
        <v>46285</v>
      </c>
      <c r="F14" s="40">
        <f>IFERROR(IF(ISNUMBER('Communication Tracker'!N14),'Communication Tracker'!N14,""),"")</f>
        <v>46299</v>
      </c>
      <c r="G14" s="34" t="str">
        <f>IF('Communication Tracker'!O14="","",'Communication Tracker'!O14)</f>
        <v>Sent</v>
      </c>
      <c r="H14" s="39" t="str">
        <f ca="1">IF('Communication Tracker'!B14="","",IF(OR('Communication Tracker'!O14="Positive Reply",'Communication Tracker'!O14="Accepted",'Communication Tracker'!O14="Rejected"),"Case closed - no action needed",IF(ISNUMBER('Communication Tracker'!M14),IF('Communication Tracker'!M14&gt;14,"URGENT - send a follow-up today",IF('Communication Tracker'!M14&gt;=7,"Prepare follow-up - send within "&amp;(14-'Communication Tracker'!M14)&amp;" days","Monitoring - next follow-up in "&amp;(14-'Communication Tracker'!M14)&amp;" days")),"")))</f>
        <v>Prepare follow-up - send within 6 days</v>
      </c>
    </row>
    <row r="15" spans="1:8" ht="24" customHeight="1" x14ac:dyDescent="0.3">
      <c r="A15" s="61">
        <f>IF('Communication Tracker'!B15="","",12)</f>
        <v>12</v>
      </c>
      <c r="B15" s="39" t="str">
        <f>IF('Communication Tracker'!B15="","",'Communication Tracker'!B15)</f>
        <v>Postdoc in Structural Analysis of Carbon Materials for Energy Storage</v>
      </c>
      <c r="C15" s="36" t="str">
        <f>IF('Communication Tracker'!C15="","",'Communication Tracker'!C15)</f>
        <v>Uppsala University</v>
      </c>
      <c r="D15" s="62">
        <f ca="1">IFERROR(IF(ISNUMBER('Communication Tracker'!M15),'Communication Tracker'!M15,""),"")</f>
        <v>9</v>
      </c>
      <c r="E15" s="40">
        <f>IFERROR('Communication Tracker'!L15,"")</f>
        <v>46284</v>
      </c>
      <c r="F15" s="40">
        <f>IFERROR(IF(ISNUMBER('Communication Tracker'!N15),'Communication Tracker'!N15,""),"")</f>
        <v>46298</v>
      </c>
      <c r="G15" s="34" t="str">
        <f>IF('Communication Tracker'!O15="","",'Communication Tracker'!O15)</f>
        <v>No Reply</v>
      </c>
      <c r="H15" s="39" t="str">
        <f ca="1">IF('Communication Tracker'!B15="","",IF(OR('Communication Tracker'!O15="Positive Reply",'Communication Tracker'!O15="Accepted",'Communication Tracker'!O15="Rejected"),"Case closed - no action needed",IF(ISNUMBER('Communication Tracker'!M15),IF('Communication Tracker'!M15&gt;14,"URGENT - send a follow-up today",IF('Communication Tracker'!M15&gt;=7,"Prepare follow-up - send within "&amp;(14-'Communication Tracker'!M15)&amp;" days","Monitoring - next follow-up in "&amp;(14-'Communication Tracker'!M15)&amp;" days")),"")))</f>
        <v>Prepare follow-up - send within 5 days</v>
      </c>
    </row>
    <row r="16" spans="1:8" ht="24" customHeight="1" x14ac:dyDescent="0.3">
      <c r="A16" s="61">
        <f>IF('Communication Tracker'!B16="","",13)</f>
        <v>13</v>
      </c>
      <c r="B16" s="39" t="str">
        <f>IF('Communication Tracker'!B16="","",'Communication Tracker'!B16)</f>
        <v>Postdoc: Multiphysics Modelling of Laser-Regolith Interaction (Moon)</v>
      </c>
      <c r="C16" s="36" t="str">
        <f>IF('Communication Tracker'!C16="","",'Communication Tracker'!C16)</f>
        <v>Technical University of Denmark</v>
      </c>
      <c r="D16" s="62">
        <f ca="1">IFERROR(IF(ISNUMBER('Communication Tracker'!M16),'Communication Tracker'!M16,""),"")</f>
        <v>15</v>
      </c>
      <c r="E16" s="40">
        <f>IFERROR('Communication Tracker'!L16,"")</f>
        <v>46278</v>
      </c>
      <c r="F16" s="40">
        <f>IFERROR(IF(ISNUMBER('Communication Tracker'!N16),'Communication Tracker'!N16,""),"")</f>
        <v>46292</v>
      </c>
      <c r="G16" s="34" t="str">
        <f>IF('Communication Tracker'!O16="","",'Communication Tracker'!O16)</f>
        <v>Neutral Reply</v>
      </c>
      <c r="H16" s="39" t="str">
        <f ca="1">IF('Communication Tracker'!B16="","",IF(OR('Communication Tracker'!O16="Positive Reply",'Communication Tracker'!O16="Accepted",'Communication Tracker'!O16="Rejected"),"Case closed - no action needed",IF(ISNUMBER('Communication Tracker'!M16),IF('Communication Tracker'!M16&gt;14,"URGENT - send a follow-up today",IF('Communication Tracker'!M16&gt;=7,"Prepare follow-up - send within "&amp;(14-'Communication Tracker'!M16)&amp;" days","Monitoring - next follow-up in "&amp;(14-'Communication Tracker'!M16)&amp;" days")),"")))</f>
        <v>URGENT - send a follow-up today</v>
      </c>
    </row>
    <row r="17" spans="1:8" ht="24" customHeight="1" x14ac:dyDescent="0.3">
      <c r="A17" s="61">
        <f>IF('Communication Tracker'!B17="","",14)</f>
        <v>14</v>
      </c>
      <c r="B17" s="39" t="str">
        <f>IF('Communication Tracker'!B17="","",'Communication Tracker'!B17)</f>
        <v>Postdoctoral Researcher in Quantum Communications</v>
      </c>
      <c r="C17" s="36" t="str">
        <f>IF('Communication Tracker'!C17="","",'Communication Tracker'!C17)</f>
        <v>University of Luxembourg</v>
      </c>
      <c r="D17" s="62">
        <f ca="1">IFERROR(IF(ISNUMBER('Communication Tracker'!M17),'Communication Tracker'!M17,""),"")</f>
        <v>6</v>
      </c>
      <c r="E17" s="40">
        <f>IFERROR('Communication Tracker'!L17,"")</f>
        <v>46287</v>
      </c>
      <c r="F17" s="40">
        <f>IFERROR(IF(ISNUMBER('Communication Tracker'!N17),'Communication Tracker'!N17,""),"")</f>
        <v>46301</v>
      </c>
      <c r="G17" s="34" t="str">
        <f>IF('Communication Tracker'!O17="","",'Communication Tracker'!O17)</f>
        <v>Sent</v>
      </c>
      <c r="H17" s="39" t="str">
        <f ca="1">IF('Communication Tracker'!B17="","",IF(OR('Communication Tracker'!O17="Positive Reply",'Communication Tracker'!O17="Accepted",'Communication Tracker'!O17="Rejected"),"Case closed - no action needed",IF(ISNUMBER('Communication Tracker'!M17),IF('Communication Tracker'!M17&gt;14,"URGENT - send a follow-up today",IF('Communication Tracker'!M17&gt;=7,"Prepare follow-up - send within "&amp;(14-'Communication Tracker'!M17)&amp;" days","Monitoring - next follow-up in "&amp;(14-'Communication Tracker'!M17)&amp;" days")),"")))</f>
        <v>Monitoring - next follow-up in 8 days</v>
      </c>
    </row>
    <row r="18" spans="1:8" ht="24" customHeight="1" x14ac:dyDescent="0.3">
      <c r="A18" s="61">
        <f>IF('Communication Tracker'!B18="","",15)</f>
        <v>15</v>
      </c>
      <c r="B18" s="39" t="str">
        <f>IF('Communication Tracker'!B18="","",'Communication Tracker'!B18)</f>
        <v>Research Associate in Steel Structures and Sustainable Design</v>
      </c>
      <c r="C18" s="36" t="str">
        <f>IF('Communication Tracker'!C18="","",'Communication Tracker'!C18)</f>
        <v>University of Sheffield</v>
      </c>
      <c r="D18" s="62">
        <f ca="1">IFERROR(IF(ISNUMBER('Communication Tracker'!M18),'Communication Tracker'!M18,""),"")</f>
        <v>16</v>
      </c>
      <c r="E18" s="40">
        <f>IFERROR('Communication Tracker'!L18,"")</f>
        <v>46277</v>
      </c>
      <c r="F18" s="40">
        <f>IFERROR(IF(ISNUMBER('Communication Tracker'!N18),'Communication Tracker'!N18,""),"")</f>
        <v>46291</v>
      </c>
      <c r="G18" s="34" t="str">
        <f>IF('Communication Tracker'!O18="","",'Communication Tracker'!O18)</f>
        <v>No Reply</v>
      </c>
      <c r="H18" s="39" t="str">
        <f ca="1">IF('Communication Tracker'!B18="","",IF(OR('Communication Tracker'!O18="Positive Reply",'Communication Tracker'!O18="Accepted",'Communication Tracker'!O18="Rejected"),"Case closed - no action needed",IF(ISNUMBER('Communication Tracker'!M18),IF('Communication Tracker'!M18&gt;14,"URGENT - send a follow-up today",IF('Communication Tracker'!M18&gt;=7,"Prepare follow-up - send within "&amp;(14-'Communication Tracker'!M18)&amp;" days","Monitoring - next follow-up in "&amp;(14-'Communication Tracker'!M18)&amp;" days")),"")))</f>
        <v>URGENT - send a follow-up today</v>
      </c>
    </row>
    <row r="19" spans="1:8" ht="24" customHeight="1" x14ac:dyDescent="0.3">
      <c r="A19" s="61">
        <f>IF('Communication Tracker'!B19="","",16)</f>
        <v>16</v>
      </c>
      <c r="B19" s="39" t="str">
        <f>IF('Communication Tracker'!B19="","",'Communication Tracker'!B19)</f>
        <v>Postdoc in Synthesis and Crystal Growth of Molecular Conductors</v>
      </c>
      <c r="C19" s="36" t="str">
        <f>IF('Communication Tracker'!C19="","",'Communication Tracker'!C19)</f>
        <v>Chalmers University of Technology</v>
      </c>
      <c r="D19" s="62">
        <f ca="1">IFERROR(IF(ISNUMBER('Communication Tracker'!M19),'Communication Tracker'!M19,""),"")</f>
        <v>18</v>
      </c>
      <c r="E19" s="40">
        <f>IFERROR('Communication Tracker'!L19,"")</f>
        <v>46275</v>
      </c>
      <c r="F19" s="40">
        <f>IFERROR(IF(ISNUMBER('Communication Tracker'!N19),'Communication Tracker'!N19,""),"")</f>
        <v>46289</v>
      </c>
      <c r="G19" s="34" t="str">
        <f>IF('Communication Tracker'!O19="","",'Communication Tracker'!O19)</f>
        <v>Interview Invitation</v>
      </c>
      <c r="H19" s="39" t="str">
        <f ca="1">IF('Communication Tracker'!B19="","",IF(OR('Communication Tracker'!O19="Positive Reply",'Communication Tracker'!O19="Accepted",'Communication Tracker'!O19="Rejected"),"Case closed - no action needed",IF(ISNUMBER('Communication Tracker'!M19),IF('Communication Tracker'!M19&gt;14,"URGENT - send a follow-up today",IF('Communication Tracker'!M19&gt;=7,"Prepare follow-up - send within "&amp;(14-'Communication Tracker'!M19)&amp;" days","Monitoring - next follow-up in "&amp;(14-'Communication Tracker'!M19)&amp;" days")),"")))</f>
        <v>URGENT - send a follow-up today</v>
      </c>
    </row>
    <row r="20" spans="1:8" ht="24" customHeight="1" x14ac:dyDescent="0.3">
      <c r="A20" s="61">
        <f>IF('Communication Tracker'!B20="","",17)</f>
        <v>17</v>
      </c>
      <c r="B20" s="39" t="str">
        <f>IF('Communication Tracker'!B20="","",'Communication Tracker'!B20)</f>
        <v>PhD Candidate in Children's Media in English (CLEAR Group)</v>
      </c>
      <c r="C20" s="36" t="str">
        <f>IF('Communication Tracker'!C20="","",'Communication Tracker'!C20)</f>
        <v>NTNU</v>
      </c>
      <c r="D20" s="62" t="str">
        <f ca="1">IFERROR(IF(ISNUMBER('Communication Tracker'!M20),'Communication Tracker'!M20,""),"")</f>
        <v/>
      </c>
      <c r="E20" s="40">
        <f>IFERROR('Communication Tracker'!L20,"")</f>
        <v>46256</v>
      </c>
      <c r="F20" s="40" t="str">
        <f>IFERROR(IF(ISNUMBER('Communication Tracker'!N20),'Communication Tracker'!N20,""),"")</f>
        <v/>
      </c>
      <c r="G20" s="34" t="str">
        <f>IF('Communication Tracker'!O20="","",'Communication Tracker'!O20)</f>
        <v>Rejected</v>
      </c>
      <c r="H20" s="39" t="str">
        <f>IF('Communication Tracker'!B20="","",IF(OR('Communication Tracker'!O20="Positive Reply",'Communication Tracker'!O20="Accepted",'Communication Tracker'!O20="Rejected"),"Case closed - no action needed",IF(ISNUMBER('Communication Tracker'!M20),IF('Communication Tracker'!M20&gt;14,"URGENT - send a follow-up today",IF('Communication Tracker'!M20&gt;=7,"Prepare follow-up - send within "&amp;(14-'Communication Tracker'!M20)&amp;" days","Monitoring - next follow-up in "&amp;(14-'Communication Tracker'!M20)&amp;" days")),"")))</f>
        <v>Case closed - no action needed</v>
      </c>
    </row>
    <row r="21" spans="1:8" ht="24" customHeight="1" x14ac:dyDescent="0.3">
      <c r="A21" s="61">
        <f>IF('Communication Tracker'!B21="","",18)</f>
        <v>18</v>
      </c>
      <c r="B21" s="39" t="str">
        <f>IF('Communication Tracker'!B21="","",'Communication Tracker'!B21)</f>
        <v>PhD: Chemical Activity of Air Pollutants via Laser Spectroscopy</v>
      </c>
      <c r="C21" s="36" t="str">
        <f>IF('Communication Tracker'!C21="","",'Communication Tracker'!C21)</f>
        <v>Forschungszentrum Jülich</v>
      </c>
      <c r="D21" s="62">
        <f ca="1">IFERROR(IF(ISNUMBER('Communication Tracker'!M21),'Communication Tracker'!M21,""),"")</f>
        <v>4</v>
      </c>
      <c r="E21" s="40">
        <f>IFERROR('Communication Tracker'!L21,"")</f>
        <v>46289</v>
      </c>
      <c r="F21" s="40">
        <f>IFERROR(IF(ISNUMBER('Communication Tracker'!N21),'Communication Tracker'!N21,""),"")</f>
        <v>46303</v>
      </c>
      <c r="G21" s="34" t="str">
        <f>IF('Communication Tracker'!O21="","",'Communication Tracker'!O21)</f>
        <v>Sent</v>
      </c>
      <c r="H21" s="39" t="str">
        <f ca="1">IF('Communication Tracker'!B21="","",IF(OR('Communication Tracker'!O21="Positive Reply",'Communication Tracker'!O21="Accepted",'Communication Tracker'!O21="Rejected"),"Case closed - no action needed",IF(ISNUMBER('Communication Tracker'!M21),IF('Communication Tracker'!M21&gt;14,"URGENT - send a follow-up today",IF('Communication Tracker'!M21&gt;=7,"Prepare follow-up - send within "&amp;(14-'Communication Tracker'!M21)&amp;" days","Monitoring - next follow-up in "&amp;(14-'Communication Tracker'!M21)&amp;" days")),"")))</f>
        <v>Monitoring - next follow-up in 10 days</v>
      </c>
    </row>
    <row r="22" spans="1:8" ht="24" customHeight="1" x14ac:dyDescent="0.3">
      <c r="A22" s="61">
        <f>IF('Communication Tracker'!B22="","",19)</f>
        <v>19</v>
      </c>
      <c r="B22" s="39" t="str">
        <f>IF('Communication Tracker'!B22="","",'Communication Tracker'!B22)</f>
        <v>Doctoral Fellow: Lunar Resource Production (LuMoCX / ERC)</v>
      </c>
      <c r="C22" s="36" t="str">
        <f>IF('Communication Tracker'!C22="","",'Communication Tracker'!C22)</f>
        <v>Ghent University</v>
      </c>
      <c r="D22" s="62">
        <f ca="1">IFERROR(IF(ISNUMBER('Communication Tracker'!M22),'Communication Tracker'!M22,""),"")</f>
        <v>16</v>
      </c>
      <c r="E22" s="40">
        <f>IFERROR('Communication Tracker'!L22,"")</f>
        <v>46277</v>
      </c>
      <c r="F22" s="40">
        <f>IFERROR(IF(ISNUMBER('Communication Tracker'!N22),'Communication Tracker'!N22,""),"")</f>
        <v>46291</v>
      </c>
      <c r="G22" s="34" t="str">
        <f>IF('Communication Tracker'!O22="","",'Communication Tracker'!O22)</f>
        <v>No Reply</v>
      </c>
      <c r="H22" s="39" t="str">
        <f ca="1">IF('Communication Tracker'!B22="","",IF(OR('Communication Tracker'!O22="Positive Reply",'Communication Tracker'!O22="Accepted",'Communication Tracker'!O22="Rejected"),"Case closed - no action needed",IF(ISNUMBER('Communication Tracker'!M22),IF('Communication Tracker'!M22&gt;14,"URGENT - send a follow-up today",IF('Communication Tracker'!M22&gt;=7,"Prepare follow-up - send within "&amp;(14-'Communication Tracker'!M22)&amp;" days","Monitoring - next follow-up in "&amp;(14-'Communication Tracker'!M22)&amp;" days")),"")))</f>
        <v>URGENT - send a follow-up today</v>
      </c>
    </row>
    <row r="23" spans="1:8" ht="24" customHeight="1" x14ac:dyDescent="0.3">
      <c r="A23" s="61">
        <f>IF('Communication Tracker'!B23="","",20)</f>
        <v>20</v>
      </c>
      <c r="B23" s="39" t="str">
        <f>IF('Communication Tracker'!B23="","",'Communication Tracker'!B23)</f>
        <v>Postdoctoral Fellows in Proteomics: Neurodevelopment and Cancer</v>
      </c>
      <c r="C23" s="36" t="str">
        <f>IF('Communication Tracker'!C23="","",'Communication Tracker'!C23)</f>
        <v>University of Helsinki</v>
      </c>
      <c r="D23" s="62">
        <f ca="1">IFERROR(IF(ISNUMBER('Communication Tracker'!M23),'Communication Tracker'!M23,""),"")</f>
        <v>27</v>
      </c>
      <c r="E23" s="40">
        <f>IFERROR('Communication Tracker'!L23,"")</f>
        <v>46266</v>
      </c>
      <c r="F23" s="40">
        <f>IFERROR(IF(ISNUMBER('Communication Tracker'!N23),'Communication Tracker'!N23,""),"")</f>
        <v>46280</v>
      </c>
      <c r="G23" s="34" t="str">
        <f>IF('Communication Tracker'!O23="","",'Communication Tracker'!O23)</f>
        <v>Neutral Reply</v>
      </c>
      <c r="H23" s="39" t="str">
        <f ca="1">IF('Communication Tracker'!B23="","",IF(OR('Communication Tracker'!O23="Positive Reply",'Communication Tracker'!O23="Accepted",'Communication Tracker'!O23="Rejected"),"Case closed - no action needed",IF(ISNUMBER('Communication Tracker'!M23),IF('Communication Tracker'!M23&gt;14,"URGENT - send a follow-up today",IF('Communication Tracker'!M23&gt;=7,"Prepare follow-up - send within "&amp;(14-'Communication Tracker'!M23)&amp;" days","Monitoring - next follow-up in "&amp;(14-'Communication Tracker'!M23)&amp;" days")),"")))</f>
        <v>URGENT - send a follow-up today</v>
      </c>
    </row>
    <row r="24" spans="1:8" ht="24" customHeight="1" x14ac:dyDescent="0.3">
      <c r="A24" s="61" t="str">
        <f>IF('Communication Tracker'!B24="","",21)</f>
        <v/>
      </c>
      <c r="B24" s="39" t="str">
        <f>IF('Communication Tracker'!B24="","",'Communication Tracker'!B24)</f>
        <v/>
      </c>
      <c r="C24" s="36" t="str">
        <f>IF('Communication Tracker'!C24="","",'Communication Tracker'!C24)</f>
        <v/>
      </c>
      <c r="D24" s="62" t="str">
        <f ca="1">IFERROR(IF(ISNUMBER('Communication Tracker'!M24),'Communication Tracker'!M24,""),"")</f>
        <v/>
      </c>
      <c r="E24" s="40" t="str">
        <f>IFERROR('Communication Tracker'!L24,"")</f>
        <v/>
      </c>
      <c r="F24" s="40" t="str">
        <f>IFERROR(IF(ISNUMBER('Communication Tracker'!N24),'Communication Tracker'!N24,""),"")</f>
        <v/>
      </c>
      <c r="G24" s="34" t="str">
        <f>IF('Communication Tracker'!O24="","",'Communication Tracker'!O24)</f>
        <v/>
      </c>
      <c r="H24" s="39" t="str">
        <f>IF('Communication Tracker'!B24="","",IF(OR('Communication Tracker'!O24="Positive Reply",'Communication Tracker'!O24="Accepted",'Communication Tracker'!O24="Rejected"),"Case closed - no action needed",IF(ISNUMBER('Communication Tracker'!M24),IF('Communication Tracker'!M24&gt;14,"URGENT - send a follow-up today",IF('Communication Tracker'!M24&gt;=7,"Prepare follow-up - send within "&amp;(14-'Communication Tracker'!M24)&amp;" days","Monitoring - next follow-up in "&amp;(14-'Communication Tracker'!M24)&amp;" days")),"")))</f>
        <v/>
      </c>
    </row>
    <row r="25" spans="1:8" ht="24" customHeight="1" x14ac:dyDescent="0.3">
      <c r="A25" s="61" t="str">
        <f>IF('Communication Tracker'!B25="","",22)</f>
        <v/>
      </c>
      <c r="B25" s="39" t="str">
        <f>IF('Communication Tracker'!B25="","",'Communication Tracker'!B25)</f>
        <v/>
      </c>
      <c r="C25" s="36" t="str">
        <f>IF('Communication Tracker'!C25="","",'Communication Tracker'!C25)</f>
        <v/>
      </c>
      <c r="D25" s="62" t="str">
        <f ca="1">IFERROR(IF(ISNUMBER('Communication Tracker'!M25),'Communication Tracker'!M25,""),"")</f>
        <v/>
      </c>
      <c r="E25" s="40" t="str">
        <f>IFERROR('Communication Tracker'!L25,"")</f>
        <v/>
      </c>
      <c r="F25" s="40" t="str">
        <f>IFERROR(IF(ISNUMBER('Communication Tracker'!N25),'Communication Tracker'!N25,""),"")</f>
        <v/>
      </c>
      <c r="G25" s="34" t="str">
        <f>IF('Communication Tracker'!O25="","",'Communication Tracker'!O25)</f>
        <v/>
      </c>
      <c r="H25" s="39" t="str">
        <f>IF('Communication Tracker'!B25="","",IF(OR('Communication Tracker'!O25="Positive Reply",'Communication Tracker'!O25="Accepted",'Communication Tracker'!O25="Rejected"),"Case closed - no action needed",IF(ISNUMBER('Communication Tracker'!M25),IF('Communication Tracker'!M25&gt;14,"URGENT - send a follow-up today",IF('Communication Tracker'!M25&gt;=7,"Prepare follow-up - send within "&amp;(14-'Communication Tracker'!M25)&amp;" days","Monitoring - next follow-up in "&amp;(14-'Communication Tracker'!M25)&amp;" days")),"")))</f>
        <v/>
      </c>
    </row>
    <row r="26" spans="1:8" ht="24" customHeight="1" x14ac:dyDescent="0.3">
      <c r="A26" s="61" t="str">
        <f>IF('Communication Tracker'!B26="","",23)</f>
        <v/>
      </c>
      <c r="B26" s="39" t="str">
        <f>IF('Communication Tracker'!B26="","",'Communication Tracker'!B26)</f>
        <v/>
      </c>
      <c r="C26" s="36" t="str">
        <f>IF('Communication Tracker'!C26="","",'Communication Tracker'!C26)</f>
        <v/>
      </c>
      <c r="D26" s="62" t="str">
        <f ca="1">IFERROR(IF(ISNUMBER('Communication Tracker'!M26),'Communication Tracker'!M26,""),"")</f>
        <v/>
      </c>
      <c r="E26" s="40" t="str">
        <f>IFERROR('Communication Tracker'!L26,"")</f>
        <v/>
      </c>
      <c r="F26" s="40" t="str">
        <f>IFERROR(IF(ISNUMBER('Communication Tracker'!N26),'Communication Tracker'!N26,""),"")</f>
        <v/>
      </c>
      <c r="G26" s="34" t="str">
        <f>IF('Communication Tracker'!O26="","",'Communication Tracker'!O26)</f>
        <v/>
      </c>
      <c r="H26" s="39" t="str">
        <f>IF('Communication Tracker'!B26="","",IF(OR('Communication Tracker'!O26="Positive Reply",'Communication Tracker'!O26="Accepted",'Communication Tracker'!O26="Rejected"),"Case closed - no action needed",IF(ISNUMBER('Communication Tracker'!M26),IF('Communication Tracker'!M26&gt;14,"URGENT - send a follow-up today",IF('Communication Tracker'!M26&gt;=7,"Prepare follow-up - send within "&amp;(14-'Communication Tracker'!M26)&amp;" days","Monitoring - next follow-up in "&amp;(14-'Communication Tracker'!M26)&amp;" days")),"")))</f>
        <v/>
      </c>
    </row>
    <row r="27" spans="1:8" ht="24" customHeight="1" x14ac:dyDescent="0.3">
      <c r="A27" s="61" t="str">
        <f>IF('Communication Tracker'!B27="","",24)</f>
        <v/>
      </c>
      <c r="B27" s="39" t="str">
        <f>IF('Communication Tracker'!B27="","",'Communication Tracker'!B27)</f>
        <v/>
      </c>
      <c r="C27" s="36" t="str">
        <f>IF('Communication Tracker'!C27="","",'Communication Tracker'!C27)</f>
        <v/>
      </c>
      <c r="D27" s="62" t="str">
        <f ca="1">IFERROR(IF(ISNUMBER('Communication Tracker'!M27),'Communication Tracker'!M27,""),"")</f>
        <v/>
      </c>
      <c r="E27" s="40" t="str">
        <f>IFERROR('Communication Tracker'!L27,"")</f>
        <v/>
      </c>
      <c r="F27" s="40" t="str">
        <f>IFERROR(IF(ISNUMBER('Communication Tracker'!N27),'Communication Tracker'!N27,""),"")</f>
        <v/>
      </c>
      <c r="G27" s="34" t="str">
        <f>IF('Communication Tracker'!O27="","",'Communication Tracker'!O27)</f>
        <v/>
      </c>
      <c r="H27" s="39" t="str">
        <f>IF('Communication Tracker'!B27="","",IF(OR('Communication Tracker'!O27="Positive Reply",'Communication Tracker'!O27="Accepted",'Communication Tracker'!O27="Rejected"),"Case closed - no action needed",IF(ISNUMBER('Communication Tracker'!M27),IF('Communication Tracker'!M27&gt;14,"URGENT - send a follow-up today",IF('Communication Tracker'!M27&gt;=7,"Prepare follow-up - send within "&amp;(14-'Communication Tracker'!M27)&amp;" days","Monitoring - next follow-up in "&amp;(14-'Communication Tracker'!M27)&amp;" days")),"")))</f>
        <v/>
      </c>
    </row>
    <row r="28" spans="1:8" ht="24" customHeight="1" x14ac:dyDescent="0.3">
      <c r="A28" s="61" t="str">
        <f>IF('Communication Tracker'!B28="","",25)</f>
        <v/>
      </c>
      <c r="B28" s="39" t="str">
        <f>IF('Communication Tracker'!B28="","",'Communication Tracker'!B28)</f>
        <v/>
      </c>
      <c r="C28" s="36" t="str">
        <f>IF('Communication Tracker'!C28="","",'Communication Tracker'!C28)</f>
        <v/>
      </c>
      <c r="D28" s="62" t="str">
        <f ca="1">IFERROR(IF(ISNUMBER('Communication Tracker'!M28),'Communication Tracker'!M28,""),"")</f>
        <v/>
      </c>
      <c r="E28" s="40" t="str">
        <f>IFERROR('Communication Tracker'!L28,"")</f>
        <v/>
      </c>
      <c r="F28" s="40" t="str">
        <f>IFERROR(IF(ISNUMBER('Communication Tracker'!N28),'Communication Tracker'!N28,""),"")</f>
        <v/>
      </c>
      <c r="G28" s="34" t="str">
        <f>IF('Communication Tracker'!O28="","",'Communication Tracker'!O28)</f>
        <v/>
      </c>
      <c r="H28" s="39" t="str">
        <f>IF('Communication Tracker'!B28="","",IF(OR('Communication Tracker'!O28="Positive Reply",'Communication Tracker'!O28="Accepted",'Communication Tracker'!O28="Rejected"),"Case closed - no action needed",IF(ISNUMBER('Communication Tracker'!M28),IF('Communication Tracker'!M28&gt;14,"URGENT - send a follow-up today",IF('Communication Tracker'!M28&gt;=7,"Prepare follow-up - send within "&amp;(14-'Communication Tracker'!M28)&amp;" days","Monitoring - next follow-up in "&amp;(14-'Communication Tracker'!M28)&amp;" days")),"")))</f>
        <v/>
      </c>
    </row>
    <row r="29" spans="1:8" ht="24" customHeight="1" x14ac:dyDescent="0.3">
      <c r="A29" s="61" t="str">
        <f>IF('Communication Tracker'!B29="","",26)</f>
        <v/>
      </c>
      <c r="B29" s="39" t="str">
        <f>IF('Communication Tracker'!B29="","",'Communication Tracker'!B29)</f>
        <v/>
      </c>
      <c r="C29" s="36" t="str">
        <f>IF('Communication Tracker'!C29="","",'Communication Tracker'!C29)</f>
        <v/>
      </c>
      <c r="D29" s="62" t="str">
        <f ca="1">IFERROR(IF(ISNUMBER('Communication Tracker'!M29),'Communication Tracker'!M29,""),"")</f>
        <v/>
      </c>
      <c r="E29" s="40" t="str">
        <f>IFERROR('Communication Tracker'!L29,"")</f>
        <v/>
      </c>
      <c r="F29" s="40" t="str">
        <f>IFERROR(IF(ISNUMBER('Communication Tracker'!N29),'Communication Tracker'!N29,""),"")</f>
        <v/>
      </c>
      <c r="G29" s="34" t="str">
        <f>IF('Communication Tracker'!O29="","",'Communication Tracker'!O29)</f>
        <v/>
      </c>
      <c r="H29" s="39" t="str">
        <f>IF('Communication Tracker'!B29="","",IF(OR('Communication Tracker'!O29="Positive Reply",'Communication Tracker'!O29="Accepted",'Communication Tracker'!O29="Rejected"),"Case closed - no action needed",IF(ISNUMBER('Communication Tracker'!M29),IF('Communication Tracker'!M29&gt;14,"URGENT - send a follow-up today",IF('Communication Tracker'!M29&gt;=7,"Prepare follow-up - send within "&amp;(14-'Communication Tracker'!M29)&amp;" days","Monitoring - next follow-up in "&amp;(14-'Communication Tracker'!M29)&amp;" days")),"")))</f>
        <v/>
      </c>
    </row>
    <row r="30" spans="1:8" ht="24" customHeight="1" x14ac:dyDescent="0.3">
      <c r="A30" s="61" t="str">
        <f>IF('Communication Tracker'!B30="","",27)</f>
        <v/>
      </c>
      <c r="B30" s="39" t="str">
        <f>IF('Communication Tracker'!B30="","",'Communication Tracker'!B30)</f>
        <v/>
      </c>
      <c r="C30" s="36" t="str">
        <f>IF('Communication Tracker'!C30="","",'Communication Tracker'!C30)</f>
        <v/>
      </c>
      <c r="D30" s="62" t="str">
        <f ca="1">IFERROR(IF(ISNUMBER('Communication Tracker'!M30),'Communication Tracker'!M30,""),"")</f>
        <v/>
      </c>
      <c r="E30" s="40" t="str">
        <f>IFERROR('Communication Tracker'!L30,"")</f>
        <v/>
      </c>
      <c r="F30" s="40" t="str">
        <f>IFERROR(IF(ISNUMBER('Communication Tracker'!N30),'Communication Tracker'!N30,""),"")</f>
        <v/>
      </c>
      <c r="G30" s="34" t="str">
        <f>IF('Communication Tracker'!O30="","",'Communication Tracker'!O30)</f>
        <v/>
      </c>
      <c r="H30" s="39" t="str">
        <f>IF('Communication Tracker'!B30="","",IF(OR('Communication Tracker'!O30="Positive Reply",'Communication Tracker'!O30="Accepted",'Communication Tracker'!O30="Rejected"),"Case closed - no action needed",IF(ISNUMBER('Communication Tracker'!M30),IF('Communication Tracker'!M30&gt;14,"URGENT - send a follow-up today",IF('Communication Tracker'!M30&gt;=7,"Prepare follow-up - send within "&amp;(14-'Communication Tracker'!M30)&amp;" days","Monitoring - next follow-up in "&amp;(14-'Communication Tracker'!M30)&amp;" days")),"")))</f>
        <v/>
      </c>
    </row>
    <row r="31" spans="1:8" ht="24" customHeight="1" x14ac:dyDescent="0.3">
      <c r="A31" s="61" t="str">
        <f>IF('Communication Tracker'!B31="","",28)</f>
        <v/>
      </c>
      <c r="B31" s="39" t="str">
        <f>IF('Communication Tracker'!B31="","",'Communication Tracker'!B31)</f>
        <v/>
      </c>
      <c r="C31" s="36" t="str">
        <f>IF('Communication Tracker'!C31="","",'Communication Tracker'!C31)</f>
        <v/>
      </c>
      <c r="D31" s="62" t="str">
        <f ca="1">IFERROR(IF(ISNUMBER('Communication Tracker'!M31),'Communication Tracker'!M31,""),"")</f>
        <v/>
      </c>
      <c r="E31" s="40" t="str">
        <f>IFERROR('Communication Tracker'!L31,"")</f>
        <v/>
      </c>
      <c r="F31" s="40" t="str">
        <f>IFERROR(IF(ISNUMBER('Communication Tracker'!N31),'Communication Tracker'!N31,""),"")</f>
        <v/>
      </c>
      <c r="G31" s="34" t="str">
        <f>IF('Communication Tracker'!O31="","",'Communication Tracker'!O31)</f>
        <v/>
      </c>
      <c r="H31" s="39" t="str">
        <f>IF('Communication Tracker'!B31="","",IF(OR('Communication Tracker'!O31="Positive Reply",'Communication Tracker'!O31="Accepted",'Communication Tracker'!O31="Rejected"),"Case closed - no action needed",IF(ISNUMBER('Communication Tracker'!M31),IF('Communication Tracker'!M31&gt;14,"URGENT - send a follow-up today",IF('Communication Tracker'!M31&gt;=7,"Prepare follow-up - send within "&amp;(14-'Communication Tracker'!M31)&amp;" days","Monitoring - next follow-up in "&amp;(14-'Communication Tracker'!M31)&amp;" days")),"")))</f>
        <v/>
      </c>
    </row>
    <row r="32" spans="1:8" ht="24" customHeight="1" x14ac:dyDescent="0.3">
      <c r="A32" s="61" t="str">
        <f>IF('Communication Tracker'!B32="","",29)</f>
        <v/>
      </c>
      <c r="B32" s="39" t="str">
        <f>IF('Communication Tracker'!B32="","",'Communication Tracker'!B32)</f>
        <v/>
      </c>
      <c r="C32" s="36" t="str">
        <f>IF('Communication Tracker'!C32="","",'Communication Tracker'!C32)</f>
        <v/>
      </c>
      <c r="D32" s="62" t="str">
        <f ca="1">IFERROR(IF(ISNUMBER('Communication Tracker'!M32),'Communication Tracker'!M32,""),"")</f>
        <v/>
      </c>
      <c r="E32" s="40" t="str">
        <f>IFERROR('Communication Tracker'!L32,"")</f>
        <v/>
      </c>
      <c r="F32" s="40" t="str">
        <f>IFERROR(IF(ISNUMBER('Communication Tracker'!N32),'Communication Tracker'!N32,""),"")</f>
        <v/>
      </c>
      <c r="G32" s="34" t="str">
        <f>IF('Communication Tracker'!O32="","",'Communication Tracker'!O32)</f>
        <v/>
      </c>
      <c r="H32" s="39" t="str">
        <f>IF('Communication Tracker'!B32="","",IF(OR('Communication Tracker'!O32="Positive Reply",'Communication Tracker'!O32="Accepted",'Communication Tracker'!O32="Rejected"),"Case closed - no action needed",IF(ISNUMBER('Communication Tracker'!M32),IF('Communication Tracker'!M32&gt;14,"URGENT - send a follow-up today",IF('Communication Tracker'!M32&gt;=7,"Prepare follow-up - send within "&amp;(14-'Communication Tracker'!M32)&amp;" days","Monitoring - next follow-up in "&amp;(14-'Communication Tracker'!M32)&amp;" days")),"")))</f>
        <v/>
      </c>
    </row>
    <row r="33" spans="1:8" ht="24" customHeight="1" x14ac:dyDescent="0.3">
      <c r="A33" s="61" t="str">
        <f>IF('Communication Tracker'!B33="","",30)</f>
        <v/>
      </c>
      <c r="B33" s="39" t="str">
        <f>IF('Communication Tracker'!B33="","",'Communication Tracker'!B33)</f>
        <v/>
      </c>
      <c r="C33" s="36" t="str">
        <f>IF('Communication Tracker'!C33="","",'Communication Tracker'!C33)</f>
        <v/>
      </c>
      <c r="D33" s="62" t="str">
        <f ca="1">IFERROR(IF(ISNUMBER('Communication Tracker'!M33),'Communication Tracker'!M33,""),"")</f>
        <v/>
      </c>
      <c r="E33" s="40" t="str">
        <f>IFERROR('Communication Tracker'!L33,"")</f>
        <v/>
      </c>
      <c r="F33" s="40" t="str">
        <f>IFERROR(IF(ISNUMBER('Communication Tracker'!N33),'Communication Tracker'!N33,""),"")</f>
        <v/>
      </c>
      <c r="G33" s="34" t="str">
        <f>IF('Communication Tracker'!O33="","",'Communication Tracker'!O33)</f>
        <v/>
      </c>
      <c r="H33" s="39" t="str">
        <f>IF('Communication Tracker'!B33="","",IF(OR('Communication Tracker'!O33="Positive Reply",'Communication Tracker'!O33="Accepted",'Communication Tracker'!O33="Rejected"),"Case closed - no action needed",IF(ISNUMBER('Communication Tracker'!M33),IF('Communication Tracker'!M33&gt;14,"URGENT - send a follow-up today",IF('Communication Tracker'!M33&gt;=7,"Prepare follow-up - send within "&amp;(14-'Communication Tracker'!M33)&amp;" days","Monitoring - next follow-up in "&amp;(14-'Communication Tracker'!M33)&amp;" days")),"")))</f>
        <v/>
      </c>
    </row>
    <row r="34" spans="1:8" ht="24" customHeight="1" x14ac:dyDescent="0.3">
      <c r="A34" s="61" t="str">
        <f>IF('Communication Tracker'!B34="","",31)</f>
        <v/>
      </c>
      <c r="B34" s="39" t="str">
        <f>IF('Communication Tracker'!B34="","",'Communication Tracker'!B34)</f>
        <v/>
      </c>
      <c r="C34" s="36" t="str">
        <f>IF('Communication Tracker'!C34="","",'Communication Tracker'!C34)</f>
        <v/>
      </c>
      <c r="D34" s="62" t="str">
        <f ca="1">IFERROR(IF(ISNUMBER('Communication Tracker'!M34),'Communication Tracker'!M34,""),"")</f>
        <v/>
      </c>
      <c r="E34" s="40" t="str">
        <f>IFERROR('Communication Tracker'!L34,"")</f>
        <v/>
      </c>
      <c r="F34" s="40" t="str">
        <f>IFERROR(IF(ISNUMBER('Communication Tracker'!N34),'Communication Tracker'!N34,""),"")</f>
        <v/>
      </c>
      <c r="G34" s="34" t="str">
        <f>IF('Communication Tracker'!O34="","",'Communication Tracker'!O34)</f>
        <v/>
      </c>
      <c r="H34" s="39" t="str">
        <f>IF('Communication Tracker'!B34="","",IF(OR('Communication Tracker'!O34="Positive Reply",'Communication Tracker'!O34="Accepted",'Communication Tracker'!O34="Rejected"),"Case closed - no action needed",IF(ISNUMBER('Communication Tracker'!M34),IF('Communication Tracker'!M34&gt;14,"URGENT - send a follow-up today",IF('Communication Tracker'!M34&gt;=7,"Prepare follow-up - send within "&amp;(14-'Communication Tracker'!M34)&amp;" days","Monitoring - next follow-up in "&amp;(14-'Communication Tracker'!M34)&amp;" days")),"")))</f>
        <v/>
      </c>
    </row>
    <row r="35" spans="1:8" ht="24" customHeight="1" x14ac:dyDescent="0.3">
      <c r="A35" s="61" t="str">
        <f>IF('Communication Tracker'!B35="","",32)</f>
        <v/>
      </c>
      <c r="B35" s="39" t="str">
        <f>IF('Communication Tracker'!B35="","",'Communication Tracker'!B35)</f>
        <v/>
      </c>
      <c r="C35" s="36" t="str">
        <f>IF('Communication Tracker'!C35="","",'Communication Tracker'!C35)</f>
        <v/>
      </c>
      <c r="D35" s="62" t="str">
        <f ca="1">IFERROR(IF(ISNUMBER('Communication Tracker'!M35),'Communication Tracker'!M35,""),"")</f>
        <v/>
      </c>
      <c r="E35" s="40" t="str">
        <f>IFERROR('Communication Tracker'!L35,"")</f>
        <v/>
      </c>
      <c r="F35" s="40" t="str">
        <f>IFERROR(IF(ISNUMBER('Communication Tracker'!N35),'Communication Tracker'!N35,""),"")</f>
        <v/>
      </c>
      <c r="G35" s="34" t="str">
        <f>IF('Communication Tracker'!O35="","",'Communication Tracker'!O35)</f>
        <v/>
      </c>
      <c r="H35" s="39" t="str">
        <f>IF('Communication Tracker'!B35="","",IF(OR('Communication Tracker'!O35="Positive Reply",'Communication Tracker'!O35="Accepted",'Communication Tracker'!O35="Rejected"),"Case closed - no action needed",IF(ISNUMBER('Communication Tracker'!M35),IF('Communication Tracker'!M35&gt;14,"URGENT - send a follow-up today",IF('Communication Tracker'!M35&gt;=7,"Prepare follow-up - send within "&amp;(14-'Communication Tracker'!M35)&amp;" days","Monitoring - next follow-up in "&amp;(14-'Communication Tracker'!M35)&amp;" days")),"")))</f>
        <v/>
      </c>
    </row>
    <row r="36" spans="1:8" ht="24" customHeight="1" x14ac:dyDescent="0.3">
      <c r="A36" s="61" t="str">
        <f>IF('Communication Tracker'!B36="","",33)</f>
        <v/>
      </c>
      <c r="B36" s="39" t="str">
        <f>IF('Communication Tracker'!B36="","",'Communication Tracker'!B36)</f>
        <v/>
      </c>
      <c r="C36" s="36" t="str">
        <f>IF('Communication Tracker'!C36="","",'Communication Tracker'!C36)</f>
        <v/>
      </c>
      <c r="D36" s="62" t="str">
        <f ca="1">IFERROR(IF(ISNUMBER('Communication Tracker'!M36),'Communication Tracker'!M36,""),"")</f>
        <v/>
      </c>
      <c r="E36" s="40" t="str">
        <f>IFERROR('Communication Tracker'!L36,"")</f>
        <v/>
      </c>
      <c r="F36" s="40" t="str">
        <f>IFERROR(IF(ISNUMBER('Communication Tracker'!N36),'Communication Tracker'!N36,""),"")</f>
        <v/>
      </c>
      <c r="G36" s="34" t="str">
        <f>IF('Communication Tracker'!O36="","",'Communication Tracker'!O36)</f>
        <v/>
      </c>
      <c r="H36" s="39" t="str">
        <f>IF('Communication Tracker'!B36="","",IF(OR('Communication Tracker'!O36="Positive Reply",'Communication Tracker'!O36="Accepted",'Communication Tracker'!O36="Rejected"),"Case closed - no action needed",IF(ISNUMBER('Communication Tracker'!M36),IF('Communication Tracker'!M36&gt;14,"URGENT - send a follow-up today",IF('Communication Tracker'!M36&gt;=7,"Prepare follow-up - send within "&amp;(14-'Communication Tracker'!M36)&amp;" days","Monitoring - next follow-up in "&amp;(14-'Communication Tracker'!M36)&amp;" days")),"")))</f>
        <v/>
      </c>
    </row>
    <row r="37" spans="1:8" ht="24" customHeight="1" x14ac:dyDescent="0.3">
      <c r="A37" s="61" t="str">
        <f>IF('Communication Tracker'!B37="","",34)</f>
        <v/>
      </c>
      <c r="B37" s="39" t="str">
        <f>IF('Communication Tracker'!B37="","",'Communication Tracker'!B37)</f>
        <v/>
      </c>
      <c r="C37" s="36" t="str">
        <f>IF('Communication Tracker'!C37="","",'Communication Tracker'!C37)</f>
        <v/>
      </c>
      <c r="D37" s="62" t="str">
        <f ca="1">IFERROR(IF(ISNUMBER('Communication Tracker'!M37),'Communication Tracker'!M37,""),"")</f>
        <v/>
      </c>
      <c r="E37" s="40" t="str">
        <f>IFERROR('Communication Tracker'!L37,"")</f>
        <v/>
      </c>
      <c r="F37" s="40" t="str">
        <f>IFERROR(IF(ISNUMBER('Communication Tracker'!N37),'Communication Tracker'!N37,""),"")</f>
        <v/>
      </c>
      <c r="G37" s="34" t="str">
        <f>IF('Communication Tracker'!O37="","",'Communication Tracker'!O37)</f>
        <v/>
      </c>
      <c r="H37" s="39" t="str">
        <f>IF('Communication Tracker'!B37="","",IF(OR('Communication Tracker'!O37="Positive Reply",'Communication Tracker'!O37="Accepted",'Communication Tracker'!O37="Rejected"),"Case closed - no action needed",IF(ISNUMBER('Communication Tracker'!M37),IF('Communication Tracker'!M37&gt;14,"URGENT - send a follow-up today",IF('Communication Tracker'!M37&gt;=7,"Prepare follow-up - send within "&amp;(14-'Communication Tracker'!M37)&amp;" days","Monitoring - next follow-up in "&amp;(14-'Communication Tracker'!M37)&amp;" days")),"")))</f>
        <v/>
      </c>
    </row>
    <row r="38" spans="1:8" ht="24" customHeight="1" x14ac:dyDescent="0.3">
      <c r="A38" s="61" t="str">
        <f>IF('Communication Tracker'!B38="","",35)</f>
        <v/>
      </c>
      <c r="B38" s="39" t="str">
        <f>IF('Communication Tracker'!B38="","",'Communication Tracker'!B38)</f>
        <v/>
      </c>
      <c r="C38" s="36" t="str">
        <f>IF('Communication Tracker'!C38="","",'Communication Tracker'!C38)</f>
        <v/>
      </c>
      <c r="D38" s="62" t="str">
        <f ca="1">IFERROR(IF(ISNUMBER('Communication Tracker'!M38),'Communication Tracker'!M38,""),"")</f>
        <v/>
      </c>
      <c r="E38" s="40" t="str">
        <f>IFERROR('Communication Tracker'!L38,"")</f>
        <v/>
      </c>
      <c r="F38" s="40" t="str">
        <f>IFERROR(IF(ISNUMBER('Communication Tracker'!N38),'Communication Tracker'!N38,""),"")</f>
        <v/>
      </c>
      <c r="G38" s="34" t="str">
        <f>IF('Communication Tracker'!O38="","",'Communication Tracker'!O38)</f>
        <v/>
      </c>
      <c r="H38" s="39" t="str">
        <f>IF('Communication Tracker'!B38="","",IF(OR('Communication Tracker'!O38="Positive Reply",'Communication Tracker'!O38="Accepted",'Communication Tracker'!O38="Rejected"),"Case closed - no action needed",IF(ISNUMBER('Communication Tracker'!M38),IF('Communication Tracker'!M38&gt;14,"URGENT - send a follow-up today",IF('Communication Tracker'!M38&gt;=7,"Prepare follow-up - send within "&amp;(14-'Communication Tracker'!M38)&amp;" days","Monitoring - next follow-up in "&amp;(14-'Communication Tracker'!M38)&amp;" days")),"")))</f>
        <v/>
      </c>
    </row>
    <row r="39" spans="1:8" ht="24" customHeight="1" x14ac:dyDescent="0.3">
      <c r="A39" s="61" t="str">
        <f>IF('Communication Tracker'!B39="","",36)</f>
        <v/>
      </c>
      <c r="B39" s="39" t="str">
        <f>IF('Communication Tracker'!B39="","",'Communication Tracker'!B39)</f>
        <v/>
      </c>
      <c r="C39" s="36" t="str">
        <f>IF('Communication Tracker'!C39="","",'Communication Tracker'!C39)</f>
        <v/>
      </c>
      <c r="D39" s="62" t="str">
        <f ca="1">IFERROR(IF(ISNUMBER('Communication Tracker'!M39),'Communication Tracker'!M39,""),"")</f>
        <v/>
      </c>
      <c r="E39" s="40" t="str">
        <f>IFERROR('Communication Tracker'!L39,"")</f>
        <v/>
      </c>
      <c r="F39" s="40" t="str">
        <f>IFERROR(IF(ISNUMBER('Communication Tracker'!N39),'Communication Tracker'!N39,""),"")</f>
        <v/>
      </c>
      <c r="G39" s="34" t="str">
        <f>IF('Communication Tracker'!O39="","",'Communication Tracker'!O39)</f>
        <v/>
      </c>
      <c r="H39" s="39" t="str">
        <f>IF('Communication Tracker'!B39="","",IF(OR('Communication Tracker'!O39="Positive Reply",'Communication Tracker'!O39="Accepted",'Communication Tracker'!O39="Rejected"),"Case closed - no action needed",IF(ISNUMBER('Communication Tracker'!M39),IF('Communication Tracker'!M39&gt;14,"URGENT - send a follow-up today",IF('Communication Tracker'!M39&gt;=7,"Prepare follow-up - send within "&amp;(14-'Communication Tracker'!M39)&amp;" days","Monitoring - next follow-up in "&amp;(14-'Communication Tracker'!M39)&amp;" days")),"")))</f>
        <v/>
      </c>
    </row>
    <row r="40" spans="1:8" ht="24" customHeight="1" x14ac:dyDescent="0.3">
      <c r="A40" s="61" t="str">
        <f>IF('Communication Tracker'!B40="","",37)</f>
        <v/>
      </c>
      <c r="B40" s="39" t="str">
        <f>IF('Communication Tracker'!B40="","",'Communication Tracker'!B40)</f>
        <v/>
      </c>
      <c r="C40" s="36" t="str">
        <f>IF('Communication Tracker'!C40="","",'Communication Tracker'!C40)</f>
        <v/>
      </c>
      <c r="D40" s="62" t="str">
        <f ca="1">IFERROR(IF(ISNUMBER('Communication Tracker'!M40),'Communication Tracker'!M40,""),"")</f>
        <v/>
      </c>
      <c r="E40" s="40" t="str">
        <f>IFERROR('Communication Tracker'!L40,"")</f>
        <v/>
      </c>
      <c r="F40" s="40" t="str">
        <f>IFERROR(IF(ISNUMBER('Communication Tracker'!N40),'Communication Tracker'!N40,""),"")</f>
        <v/>
      </c>
      <c r="G40" s="34" t="str">
        <f>IF('Communication Tracker'!O40="","",'Communication Tracker'!O40)</f>
        <v/>
      </c>
      <c r="H40" s="39" t="str">
        <f>IF('Communication Tracker'!B40="","",IF(OR('Communication Tracker'!O40="Positive Reply",'Communication Tracker'!O40="Accepted",'Communication Tracker'!O40="Rejected"),"Case closed - no action needed",IF(ISNUMBER('Communication Tracker'!M40),IF('Communication Tracker'!M40&gt;14,"URGENT - send a follow-up today",IF('Communication Tracker'!M40&gt;=7,"Prepare follow-up - send within "&amp;(14-'Communication Tracker'!M40)&amp;" days","Monitoring - next follow-up in "&amp;(14-'Communication Tracker'!M40)&amp;" days")),"")))</f>
        <v/>
      </c>
    </row>
    <row r="41" spans="1:8" ht="24" customHeight="1" x14ac:dyDescent="0.3">
      <c r="A41" s="61" t="str">
        <f>IF('Communication Tracker'!B41="","",38)</f>
        <v/>
      </c>
      <c r="B41" s="39" t="str">
        <f>IF('Communication Tracker'!B41="","",'Communication Tracker'!B41)</f>
        <v/>
      </c>
      <c r="C41" s="36" t="str">
        <f>IF('Communication Tracker'!C41="","",'Communication Tracker'!C41)</f>
        <v/>
      </c>
      <c r="D41" s="62" t="str">
        <f ca="1">IFERROR(IF(ISNUMBER('Communication Tracker'!M41),'Communication Tracker'!M41,""),"")</f>
        <v/>
      </c>
      <c r="E41" s="40" t="str">
        <f>IFERROR('Communication Tracker'!L41,"")</f>
        <v/>
      </c>
      <c r="F41" s="40" t="str">
        <f>IFERROR(IF(ISNUMBER('Communication Tracker'!N41),'Communication Tracker'!N41,""),"")</f>
        <v/>
      </c>
      <c r="G41" s="34" t="str">
        <f>IF('Communication Tracker'!O41="","",'Communication Tracker'!O41)</f>
        <v/>
      </c>
      <c r="H41" s="39" t="str">
        <f>IF('Communication Tracker'!B41="","",IF(OR('Communication Tracker'!O41="Positive Reply",'Communication Tracker'!O41="Accepted",'Communication Tracker'!O41="Rejected"),"Case closed - no action needed",IF(ISNUMBER('Communication Tracker'!M41),IF('Communication Tracker'!M41&gt;14,"URGENT - send a follow-up today",IF('Communication Tracker'!M41&gt;=7,"Prepare follow-up - send within "&amp;(14-'Communication Tracker'!M41)&amp;" days","Monitoring - next follow-up in "&amp;(14-'Communication Tracker'!M41)&amp;" days")),"")))</f>
        <v/>
      </c>
    </row>
    <row r="42" spans="1:8" ht="24" customHeight="1" x14ac:dyDescent="0.3">
      <c r="A42" s="61" t="str">
        <f>IF('Communication Tracker'!B42="","",39)</f>
        <v/>
      </c>
      <c r="B42" s="39" t="str">
        <f>IF('Communication Tracker'!B42="","",'Communication Tracker'!B42)</f>
        <v/>
      </c>
      <c r="C42" s="36" t="str">
        <f>IF('Communication Tracker'!C42="","",'Communication Tracker'!C42)</f>
        <v/>
      </c>
      <c r="D42" s="62" t="str">
        <f ca="1">IFERROR(IF(ISNUMBER('Communication Tracker'!M42),'Communication Tracker'!M42,""),"")</f>
        <v/>
      </c>
      <c r="E42" s="40" t="str">
        <f>IFERROR('Communication Tracker'!L42,"")</f>
        <v/>
      </c>
      <c r="F42" s="40" t="str">
        <f>IFERROR(IF(ISNUMBER('Communication Tracker'!N42),'Communication Tracker'!N42,""),"")</f>
        <v/>
      </c>
      <c r="G42" s="34" t="str">
        <f>IF('Communication Tracker'!O42="","",'Communication Tracker'!O42)</f>
        <v/>
      </c>
      <c r="H42" s="39" t="str">
        <f>IF('Communication Tracker'!B42="","",IF(OR('Communication Tracker'!O42="Positive Reply",'Communication Tracker'!O42="Accepted",'Communication Tracker'!O42="Rejected"),"Case closed - no action needed",IF(ISNUMBER('Communication Tracker'!M42),IF('Communication Tracker'!M42&gt;14,"URGENT - send a follow-up today",IF('Communication Tracker'!M42&gt;=7,"Prepare follow-up - send within "&amp;(14-'Communication Tracker'!M42)&amp;" days","Monitoring - next follow-up in "&amp;(14-'Communication Tracker'!M42)&amp;" days")),"")))</f>
        <v/>
      </c>
    </row>
    <row r="43" spans="1:8" ht="24" customHeight="1" x14ac:dyDescent="0.3">
      <c r="A43" s="61" t="str">
        <f>IF('Communication Tracker'!B43="","",40)</f>
        <v/>
      </c>
      <c r="B43" s="39" t="str">
        <f>IF('Communication Tracker'!B43="","",'Communication Tracker'!B43)</f>
        <v/>
      </c>
      <c r="C43" s="36" t="str">
        <f>IF('Communication Tracker'!C43="","",'Communication Tracker'!C43)</f>
        <v/>
      </c>
      <c r="D43" s="62" t="str">
        <f ca="1">IFERROR(IF(ISNUMBER('Communication Tracker'!M43),'Communication Tracker'!M43,""),"")</f>
        <v/>
      </c>
      <c r="E43" s="40" t="str">
        <f>IFERROR('Communication Tracker'!L43,"")</f>
        <v/>
      </c>
      <c r="F43" s="40" t="str">
        <f>IFERROR(IF(ISNUMBER('Communication Tracker'!N43),'Communication Tracker'!N43,""),"")</f>
        <v/>
      </c>
      <c r="G43" s="34" t="str">
        <f>IF('Communication Tracker'!O43="","",'Communication Tracker'!O43)</f>
        <v/>
      </c>
      <c r="H43" s="39" t="str">
        <f>IF('Communication Tracker'!B43="","",IF(OR('Communication Tracker'!O43="Positive Reply",'Communication Tracker'!O43="Accepted",'Communication Tracker'!O43="Rejected"),"Case closed - no action needed",IF(ISNUMBER('Communication Tracker'!M43),IF('Communication Tracker'!M43&gt;14,"URGENT - send a follow-up today",IF('Communication Tracker'!M43&gt;=7,"Prepare follow-up - send within "&amp;(14-'Communication Tracker'!M43)&amp;" days","Monitoring - next follow-up in "&amp;(14-'Communication Tracker'!M43)&amp;" days")),"")))</f>
        <v/>
      </c>
    </row>
    <row r="44" spans="1:8" ht="24" customHeight="1" x14ac:dyDescent="0.3">
      <c r="A44" s="61" t="str">
        <f>IF('Communication Tracker'!B44="","",41)</f>
        <v/>
      </c>
      <c r="B44" s="39" t="str">
        <f>IF('Communication Tracker'!B44="","",'Communication Tracker'!B44)</f>
        <v/>
      </c>
      <c r="C44" s="36" t="str">
        <f>IF('Communication Tracker'!C44="","",'Communication Tracker'!C44)</f>
        <v/>
      </c>
      <c r="D44" s="62" t="str">
        <f ca="1">IFERROR(IF(ISNUMBER('Communication Tracker'!M44),'Communication Tracker'!M44,""),"")</f>
        <v/>
      </c>
      <c r="E44" s="40" t="str">
        <f>IFERROR('Communication Tracker'!L44,"")</f>
        <v/>
      </c>
      <c r="F44" s="40" t="str">
        <f>IFERROR(IF(ISNUMBER('Communication Tracker'!N44),'Communication Tracker'!N44,""),"")</f>
        <v/>
      </c>
      <c r="G44" s="34" t="str">
        <f>IF('Communication Tracker'!O44="","",'Communication Tracker'!O44)</f>
        <v/>
      </c>
      <c r="H44" s="39" t="str">
        <f>IF('Communication Tracker'!B44="","",IF(OR('Communication Tracker'!O44="Positive Reply",'Communication Tracker'!O44="Accepted",'Communication Tracker'!O44="Rejected"),"Case closed - no action needed",IF(ISNUMBER('Communication Tracker'!M44),IF('Communication Tracker'!M44&gt;14,"URGENT - send a follow-up today",IF('Communication Tracker'!M44&gt;=7,"Prepare follow-up - send within "&amp;(14-'Communication Tracker'!M44)&amp;" days","Monitoring - next follow-up in "&amp;(14-'Communication Tracker'!M44)&amp;" days")),"")))</f>
        <v/>
      </c>
    </row>
    <row r="45" spans="1:8" ht="24" customHeight="1" x14ac:dyDescent="0.3">
      <c r="A45" s="61" t="str">
        <f>IF('Communication Tracker'!B45="","",42)</f>
        <v/>
      </c>
      <c r="B45" s="39" t="str">
        <f>IF('Communication Tracker'!B45="","",'Communication Tracker'!B45)</f>
        <v/>
      </c>
      <c r="C45" s="36" t="str">
        <f>IF('Communication Tracker'!C45="","",'Communication Tracker'!C45)</f>
        <v/>
      </c>
      <c r="D45" s="62" t="str">
        <f ca="1">IFERROR(IF(ISNUMBER('Communication Tracker'!M45),'Communication Tracker'!M45,""),"")</f>
        <v/>
      </c>
      <c r="E45" s="40" t="str">
        <f>IFERROR('Communication Tracker'!L45,"")</f>
        <v/>
      </c>
      <c r="F45" s="40" t="str">
        <f>IFERROR(IF(ISNUMBER('Communication Tracker'!N45),'Communication Tracker'!N45,""),"")</f>
        <v/>
      </c>
      <c r="G45" s="34" t="str">
        <f>IF('Communication Tracker'!O45="","",'Communication Tracker'!O45)</f>
        <v/>
      </c>
      <c r="H45" s="39" t="str">
        <f>IF('Communication Tracker'!B45="","",IF(OR('Communication Tracker'!O45="Positive Reply",'Communication Tracker'!O45="Accepted",'Communication Tracker'!O45="Rejected"),"Case closed - no action needed",IF(ISNUMBER('Communication Tracker'!M45),IF('Communication Tracker'!M45&gt;14,"URGENT - send a follow-up today",IF('Communication Tracker'!M45&gt;=7,"Prepare follow-up - send within "&amp;(14-'Communication Tracker'!M45)&amp;" days","Monitoring - next follow-up in "&amp;(14-'Communication Tracker'!M45)&amp;" days")),"")))</f>
        <v/>
      </c>
    </row>
    <row r="46" spans="1:8" ht="24" customHeight="1" x14ac:dyDescent="0.3">
      <c r="A46" s="61" t="str">
        <f>IF('Communication Tracker'!B46="","",43)</f>
        <v/>
      </c>
      <c r="B46" s="39" t="str">
        <f>IF('Communication Tracker'!B46="","",'Communication Tracker'!B46)</f>
        <v/>
      </c>
      <c r="C46" s="36" t="str">
        <f>IF('Communication Tracker'!C46="","",'Communication Tracker'!C46)</f>
        <v/>
      </c>
      <c r="D46" s="62" t="str">
        <f ca="1">IFERROR(IF(ISNUMBER('Communication Tracker'!M46),'Communication Tracker'!M46,""),"")</f>
        <v/>
      </c>
      <c r="E46" s="40" t="str">
        <f>IFERROR('Communication Tracker'!L46,"")</f>
        <v/>
      </c>
      <c r="F46" s="40" t="str">
        <f>IFERROR(IF(ISNUMBER('Communication Tracker'!N46),'Communication Tracker'!N46,""),"")</f>
        <v/>
      </c>
      <c r="G46" s="34" t="str">
        <f>IF('Communication Tracker'!O46="","",'Communication Tracker'!O46)</f>
        <v/>
      </c>
      <c r="H46" s="39" t="str">
        <f>IF('Communication Tracker'!B46="","",IF(OR('Communication Tracker'!O46="Positive Reply",'Communication Tracker'!O46="Accepted",'Communication Tracker'!O46="Rejected"),"Case closed - no action needed",IF(ISNUMBER('Communication Tracker'!M46),IF('Communication Tracker'!M46&gt;14,"URGENT - send a follow-up today",IF('Communication Tracker'!M46&gt;=7,"Prepare follow-up - send within "&amp;(14-'Communication Tracker'!M46)&amp;" days","Monitoring - next follow-up in "&amp;(14-'Communication Tracker'!M46)&amp;" days")),"")))</f>
        <v/>
      </c>
    </row>
    <row r="47" spans="1:8" ht="24" customHeight="1" x14ac:dyDescent="0.3">
      <c r="A47" s="61" t="str">
        <f>IF('Communication Tracker'!B47="","",44)</f>
        <v/>
      </c>
      <c r="B47" s="39" t="str">
        <f>IF('Communication Tracker'!B47="","",'Communication Tracker'!B47)</f>
        <v/>
      </c>
      <c r="C47" s="36" t="str">
        <f>IF('Communication Tracker'!C47="","",'Communication Tracker'!C47)</f>
        <v/>
      </c>
      <c r="D47" s="62" t="str">
        <f ca="1">IFERROR(IF(ISNUMBER('Communication Tracker'!M47),'Communication Tracker'!M47,""),"")</f>
        <v/>
      </c>
      <c r="E47" s="40" t="str">
        <f>IFERROR('Communication Tracker'!L47,"")</f>
        <v/>
      </c>
      <c r="F47" s="40" t="str">
        <f>IFERROR(IF(ISNUMBER('Communication Tracker'!N47),'Communication Tracker'!N47,""),"")</f>
        <v/>
      </c>
      <c r="G47" s="34" t="str">
        <f>IF('Communication Tracker'!O47="","",'Communication Tracker'!O47)</f>
        <v/>
      </c>
      <c r="H47" s="39" t="str">
        <f>IF('Communication Tracker'!B47="","",IF(OR('Communication Tracker'!O47="Positive Reply",'Communication Tracker'!O47="Accepted",'Communication Tracker'!O47="Rejected"),"Case closed - no action needed",IF(ISNUMBER('Communication Tracker'!M47),IF('Communication Tracker'!M47&gt;14,"URGENT - send a follow-up today",IF('Communication Tracker'!M47&gt;=7,"Prepare follow-up - send within "&amp;(14-'Communication Tracker'!M47)&amp;" days","Monitoring - next follow-up in "&amp;(14-'Communication Tracker'!M47)&amp;" days")),"")))</f>
        <v/>
      </c>
    </row>
    <row r="48" spans="1:8" ht="24" customHeight="1" x14ac:dyDescent="0.3">
      <c r="A48" s="61" t="str">
        <f>IF('Communication Tracker'!B48="","",45)</f>
        <v/>
      </c>
      <c r="B48" s="39" t="str">
        <f>IF('Communication Tracker'!B48="","",'Communication Tracker'!B48)</f>
        <v/>
      </c>
      <c r="C48" s="36" t="str">
        <f>IF('Communication Tracker'!C48="","",'Communication Tracker'!C48)</f>
        <v/>
      </c>
      <c r="D48" s="62" t="str">
        <f ca="1">IFERROR(IF(ISNUMBER('Communication Tracker'!M48),'Communication Tracker'!M48,""),"")</f>
        <v/>
      </c>
      <c r="E48" s="40" t="str">
        <f>IFERROR('Communication Tracker'!L48,"")</f>
        <v/>
      </c>
      <c r="F48" s="40" t="str">
        <f>IFERROR(IF(ISNUMBER('Communication Tracker'!N48),'Communication Tracker'!N48,""),"")</f>
        <v/>
      </c>
      <c r="G48" s="34" t="str">
        <f>IF('Communication Tracker'!O48="","",'Communication Tracker'!O48)</f>
        <v/>
      </c>
      <c r="H48" s="39" t="str">
        <f>IF('Communication Tracker'!B48="","",IF(OR('Communication Tracker'!O48="Positive Reply",'Communication Tracker'!O48="Accepted",'Communication Tracker'!O48="Rejected"),"Case closed - no action needed",IF(ISNUMBER('Communication Tracker'!M48),IF('Communication Tracker'!M48&gt;14,"URGENT - send a follow-up today",IF('Communication Tracker'!M48&gt;=7,"Prepare follow-up - send within "&amp;(14-'Communication Tracker'!M48)&amp;" days","Monitoring - next follow-up in "&amp;(14-'Communication Tracker'!M48)&amp;" days")),"")))</f>
        <v/>
      </c>
    </row>
    <row r="49" spans="1:8" ht="24" customHeight="1" x14ac:dyDescent="0.3">
      <c r="A49" s="61" t="str">
        <f>IF('Communication Tracker'!B49="","",46)</f>
        <v/>
      </c>
      <c r="B49" s="39" t="str">
        <f>IF('Communication Tracker'!B49="","",'Communication Tracker'!B49)</f>
        <v/>
      </c>
      <c r="C49" s="36" t="str">
        <f>IF('Communication Tracker'!C49="","",'Communication Tracker'!C49)</f>
        <v/>
      </c>
      <c r="D49" s="62" t="str">
        <f ca="1">IFERROR(IF(ISNUMBER('Communication Tracker'!M49),'Communication Tracker'!M49,""),"")</f>
        <v/>
      </c>
      <c r="E49" s="40" t="str">
        <f>IFERROR('Communication Tracker'!L49,"")</f>
        <v/>
      </c>
      <c r="F49" s="40" t="str">
        <f>IFERROR(IF(ISNUMBER('Communication Tracker'!N49),'Communication Tracker'!N49,""),"")</f>
        <v/>
      </c>
      <c r="G49" s="34" t="str">
        <f>IF('Communication Tracker'!O49="","",'Communication Tracker'!O49)</f>
        <v/>
      </c>
      <c r="H49" s="39" t="str">
        <f>IF('Communication Tracker'!B49="","",IF(OR('Communication Tracker'!O49="Positive Reply",'Communication Tracker'!O49="Accepted",'Communication Tracker'!O49="Rejected"),"Case closed - no action needed",IF(ISNUMBER('Communication Tracker'!M49),IF('Communication Tracker'!M49&gt;14,"URGENT - send a follow-up today",IF('Communication Tracker'!M49&gt;=7,"Prepare follow-up - send within "&amp;(14-'Communication Tracker'!M49)&amp;" days","Monitoring - next follow-up in "&amp;(14-'Communication Tracker'!M49)&amp;" days")),"")))</f>
        <v/>
      </c>
    </row>
    <row r="50" spans="1:8" ht="24" customHeight="1" x14ac:dyDescent="0.3">
      <c r="A50" s="61" t="str">
        <f>IF('Communication Tracker'!B50="","",47)</f>
        <v/>
      </c>
      <c r="B50" s="39" t="str">
        <f>IF('Communication Tracker'!B50="","",'Communication Tracker'!B50)</f>
        <v/>
      </c>
      <c r="C50" s="36" t="str">
        <f>IF('Communication Tracker'!C50="","",'Communication Tracker'!C50)</f>
        <v/>
      </c>
      <c r="D50" s="62" t="str">
        <f ca="1">IFERROR(IF(ISNUMBER('Communication Tracker'!M50),'Communication Tracker'!M50,""),"")</f>
        <v/>
      </c>
      <c r="E50" s="40" t="str">
        <f>IFERROR('Communication Tracker'!L50,"")</f>
        <v/>
      </c>
      <c r="F50" s="40" t="str">
        <f>IFERROR(IF(ISNUMBER('Communication Tracker'!N50),'Communication Tracker'!N50,""),"")</f>
        <v/>
      </c>
      <c r="G50" s="34" t="str">
        <f>IF('Communication Tracker'!O50="","",'Communication Tracker'!O50)</f>
        <v/>
      </c>
      <c r="H50" s="39" t="str">
        <f>IF('Communication Tracker'!B50="","",IF(OR('Communication Tracker'!O50="Positive Reply",'Communication Tracker'!O50="Accepted",'Communication Tracker'!O50="Rejected"),"Case closed - no action needed",IF(ISNUMBER('Communication Tracker'!M50),IF('Communication Tracker'!M50&gt;14,"URGENT - send a follow-up today",IF('Communication Tracker'!M50&gt;=7,"Prepare follow-up - send within "&amp;(14-'Communication Tracker'!M50)&amp;" days","Monitoring - next follow-up in "&amp;(14-'Communication Tracker'!M50)&amp;" days")),"")))</f>
        <v/>
      </c>
    </row>
    <row r="51" spans="1:8" ht="24" customHeight="1" x14ac:dyDescent="0.3">
      <c r="A51" s="61" t="str">
        <f>IF('Communication Tracker'!B51="","",48)</f>
        <v/>
      </c>
      <c r="B51" s="39" t="str">
        <f>IF('Communication Tracker'!B51="","",'Communication Tracker'!B51)</f>
        <v/>
      </c>
      <c r="C51" s="36" t="str">
        <f>IF('Communication Tracker'!C51="","",'Communication Tracker'!C51)</f>
        <v/>
      </c>
      <c r="D51" s="62" t="str">
        <f ca="1">IFERROR(IF(ISNUMBER('Communication Tracker'!M51),'Communication Tracker'!M51,""),"")</f>
        <v/>
      </c>
      <c r="E51" s="40" t="str">
        <f>IFERROR('Communication Tracker'!L51,"")</f>
        <v/>
      </c>
      <c r="F51" s="40" t="str">
        <f>IFERROR(IF(ISNUMBER('Communication Tracker'!N51),'Communication Tracker'!N51,""),"")</f>
        <v/>
      </c>
      <c r="G51" s="34" t="str">
        <f>IF('Communication Tracker'!O51="","",'Communication Tracker'!O51)</f>
        <v/>
      </c>
      <c r="H51" s="39" t="str">
        <f>IF('Communication Tracker'!B51="","",IF(OR('Communication Tracker'!O51="Positive Reply",'Communication Tracker'!O51="Accepted",'Communication Tracker'!O51="Rejected"),"Case closed - no action needed",IF(ISNUMBER('Communication Tracker'!M51),IF('Communication Tracker'!M51&gt;14,"URGENT - send a follow-up today",IF('Communication Tracker'!M51&gt;=7,"Prepare follow-up - send within "&amp;(14-'Communication Tracker'!M51)&amp;" days","Monitoring - next follow-up in "&amp;(14-'Communication Tracker'!M51)&amp;" days")),"")))</f>
        <v/>
      </c>
    </row>
    <row r="52" spans="1:8" ht="24" customHeight="1" x14ac:dyDescent="0.3">
      <c r="A52" s="61" t="str">
        <f>IF('Communication Tracker'!B52="","",49)</f>
        <v/>
      </c>
      <c r="B52" s="39" t="str">
        <f>IF('Communication Tracker'!B52="","",'Communication Tracker'!B52)</f>
        <v/>
      </c>
      <c r="C52" s="36" t="str">
        <f>IF('Communication Tracker'!C52="","",'Communication Tracker'!C52)</f>
        <v/>
      </c>
      <c r="D52" s="62" t="str">
        <f ca="1">IFERROR(IF(ISNUMBER('Communication Tracker'!M52),'Communication Tracker'!M52,""),"")</f>
        <v/>
      </c>
      <c r="E52" s="40" t="str">
        <f>IFERROR('Communication Tracker'!L52,"")</f>
        <v/>
      </c>
      <c r="F52" s="40" t="str">
        <f>IFERROR(IF(ISNUMBER('Communication Tracker'!N52),'Communication Tracker'!N52,""),"")</f>
        <v/>
      </c>
      <c r="G52" s="34" t="str">
        <f>IF('Communication Tracker'!O52="","",'Communication Tracker'!O52)</f>
        <v/>
      </c>
      <c r="H52" s="39" t="str">
        <f>IF('Communication Tracker'!B52="","",IF(OR('Communication Tracker'!O52="Positive Reply",'Communication Tracker'!O52="Accepted",'Communication Tracker'!O52="Rejected"),"Case closed - no action needed",IF(ISNUMBER('Communication Tracker'!M52),IF('Communication Tracker'!M52&gt;14,"URGENT - send a follow-up today",IF('Communication Tracker'!M52&gt;=7,"Prepare follow-up - send within "&amp;(14-'Communication Tracker'!M52)&amp;" days","Monitoring - next follow-up in "&amp;(14-'Communication Tracker'!M52)&amp;" days")),"")))</f>
        <v/>
      </c>
    </row>
    <row r="53" spans="1:8" ht="24" customHeight="1" x14ac:dyDescent="0.3">
      <c r="A53" s="61" t="str">
        <f>IF('Communication Tracker'!B53="","",50)</f>
        <v/>
      </c>
      <c r="B53" s="39" t="str">
        <f>IF('Communication Tracker'!B53="","",'Communication Tracker'!B53)</f>
        <v/>
      </c>
      <c r="C53" s="36" t="str">
        <f>IF('Communication Tracker'!C53="","",'Communication Tracker'!C53)</f>
        <v/>
      </c>
      <c r="D53" s="62" t="str">
        <f ca="1">IFERROR(IF(ISNUMBER('Communication Tracker'!M53),'Communication Tracker'!M53,""),"")</f>
        <v/>
      </c>
      <c r="E53" s="40" t="str">
        <f>IFERROR('Communication Tracker'!L53,"")</f>
        <v/>
      </c>
      <c r="F53" s="40" t="str">
        <f>IFERROR(IF(ISNUMBER('Communication Tracker'!N53),'Communication Tracker'!N53,""),"")</f>
        <v/>
      </c>
      <c r="G53" s="34" t="str">
        <f>IF('Communication Tracker'!O53="","",'Communication Tracker'!O53)</f>
        <v/>
      </c>
      <c r="H53" s="39" t="str">
        <f>IF('Communication Tracker'!B53="","",IF(OR('Communication Tracker'!O53="Positive Reply",'Communication Tracker'!O53="Accepted",'Communication Tracker'!O53="Rejected"),"Case closed - no action needed",IF(ISNUMBER('Communication Tracker'!M53),IF('Communication Tracker'!M53&gt;14,"URGENT - send a follow-up today",IF('Communication Tracker'!M53&gt;=7,"Prepare follow-up - send within "&amp;(14-'Communication Tracker'!M53)&amp;" days","Monitoring - next follow-up in "&amp;(14-'Communication Tracker'!M53)&amp;" days")),"")))</f>
        <v/>
      </c>
    </row>
    <row r="54" spans="1:8" ht="24" customHeight="1" x14ac:dyDescent="0.3">
      <c r="A54" s="61" t="str">
        <f>IF('Communication Tracker'!B54="","",51)</f>
        <v/>
      </c>
      <c r="B54" s="39" t="str">
        <f>IF('Communication Tracker'!B54="","",'Communication Tracker'!B54)</f>
        <v/>
      </c>
      <c r="C54" s="36" t="str">
        <f>IF('Communication Tracker'!C54="","",'Communication Tracker'!C54)</f>
        <v/>
      </c>
      <c r="D54" s="62" t="str">
        <f ca="1">IFERROR(IF(ISNUMBER('Communication Tracker'!M54),'Communication Tracker'!M54,""),"")</f>
        <v/>
      </c>
      <c r="E54" s="40" t="str">
        <f>IFERROR('Communication Tracker'!L54,"")</f>
        <v/>
      </c>
      <c r="F54" s="40" t="str">
        <f>IFERROR(IF(ISNUMBER('Communication Tracker'!N54),'Communication Tracker'!N54,""),"")</f>
        <v/>
      </c>
      <c r="G54" s="34" t="str">
        <f>IF('Communication Tracker'!O54="","",'Communication Tracker'!O54)</f>
        <v/>
      </c>
      <c r="H54" s="39" t="str">
        <f>IF('Communication Tracker'!B54="","",IF(OR('Communication Tracker'!O54="Positive Reply",'Communication Tracker'!O54="Accepted",'Communication Tracker'!O54="Rejected"),"Case closed - no action needed",IF(ISNUMBER('Communication Tracker'!M54),IF('Communication Tracker'!M54&gt;14,"URGENT - send a follow-up today",IF('Communication Tracker'!M54&gt;=7,"Prepare follow-up - send within "&amp;(14-'Communication Tracker'!M54)&amp;" days","Monitoring - next follow-up in "&amp;(14-'Communication Tracker'!M54)&amp;" days")),"")))</f>
        <v/>
      </c>
    </row>
    <row r="55" spans="1:8" ht="24" customHeight="1" x14ac:dyDescent="0.3">
      <c r="A55" s="61" t="str">
        <f>IF('Communication Tracker'!B55="","",52)</f>
        <v/>
      </c>
      <c r="B55" s="39" t="str">
        <f>IF('Communication Tracker'!B55="","",'Communication Tracker'!B55)</f>
        <v/>
      </c>
      <c r="C55" s="36" t="str">
        <f>IF('Communication Tracker'!C55="","",'Communication Tracker'!C55)</f>
        <v/>
      </c>
      <c r="D55" s="62" t="str">
        <f ca="1">IFERROR(IF(ISNUMBER('Communication Tracker'!M55),'Communication Tracker'!M55,""),"")</f>
        <v/>
      </c>
      <c r="E55" s="40" t="str">
        <f>IFERROR('Communication Tracker'!L55,"")</f>
        <v/>
      </c>
      <c r="F55" s="40" t="str">
        <f>IFERROR(IF(ISNUMBER('Communication Tracker'!N55),'Communication Tracker'!N55,""),"")</f>
        <v/>
      </c>
      <c r="G55" s="34" t="str">
        <f>IF('Communication Tracker'!O55="","",'Communication Tracker'!O55)</f>
        <v/>
      </c>
      <c r="H55" s="39" t="str">
        <f>IF('Communication Tracker'!B55="","",IF(OR('Communication Tracker'!O55="Positive Reply",'Communication Tracker'!O55="Accepted",'Communication Tracker'!O55="Rejected"),"Case closed - no action needed",IF(ISNUMBER('Communication Tracker'!M55),IF('Communication Tracker'!M55&gt;14,"URGENT - send a follow-up today",IF('Communication Tracker'!M55&gt;=7,"Prepare follow-up - send within "&amp;(14-'Communication Tracker'!M55)&amp;" days","Monitoring - next follow-up in "&amp;(14-'Communication Tracker'!M55)&amp;" days")),"")))</f>
        <v/>
      </c>
    </row>
    <row r="56" spans="1:8" ht="24" customHeight="1" x14ac:dyDescent="0.3">
      <c r="A56" s="61" t="str">
        <f>IF('Communication Tracker'!B56="","",53)</f>
        <v/>
      </c>
      <c r="B56" s="39" t="str">
        <f>IF('Communication Tracker'!B56="","",'Communication Tracker'!B56)</f>
        <v/>
      </c>
      <c r="C56" s="36" t="str">
        <f>IF('Communication Tracker'!C56="","",'Communication Tracker'!C56)</f>
        <v/>
      </c>
      <c r="D56" s="62" t="str">
        <f ca="1">IFERROR(IF(ISNUMBER('Communication Tracker'!M56),'Communication Tracker'!M56,""),"")</f>
        <v/>
      </c>
      <c r="E56" s="40" t="str">
        <f>IFERROR('Communication Tracker'!L56,"")</f>
        <v/>
      </c>
      <c r="F56" s="40" t="str">
        <f>IFERROR(IF(ISNUMBER('Communication Tracker'!N56),'Communication Tracker'!N56,""),"")</f>
        <v/>
      </c>
      <c r="G56" s="34" t="str">
        <f>IF('Communication Tracker'!O56="","",'Communication Tracker'!O56)</f>
        <v/>
      </c>
      <c r="H56" s="39" t="str">
        <f>IF('Communication Tracker'!B56="","",IF(OR('Communication Tracker'!O56="Positive Reply",'Communication Tracker'!O56="Accepted",'Communication Tracker'!O56="Rejected"),"Case closed - no action needed",IF(ISNUMBER('Communication Tracker'!M56),IF('Communication Tracker'!M56&gt;14,"URGENT - send a follow-up today",IF('Communication Tracker'!M56&gt;=7,"Prepare follow-up - send within "&amp;(14-'Communication Tracker'!M56)&amp;" days","Monitoring - next follow-up in "&amp;(14-'Communication Tracker'!M56)&amp;" days")),"")))</f>
        <v/>
      </c>
    </row>
    <row r="57" spans="1:8" ht="24" customHeight="1" x14ac:dyDescent="0.3">
      <c r="A57" s="61" t="str">
        <f>IF('Communication Tracker'!B57="","",54)</f>
        <v/>
      </c>
      <c r="B57" s="39" t="str">
        <f>IF('Communication Tracker'!B57="","",'Communication Tracker'!B57)</f>
        <v/>
      </c>
      <c r="C57" s="36" t="str">
        <f>IF('Communication Tracker'!C57="","",'Communication Tracker'!C57)</f>
        <v/>
      </c>
      <c r="D57" s="62" t="str">
        <f ca="1">IFERROR(IF(ISNUMBER('Communication Tracker'!M57),'Communication Tracker'!M57,""),"")</f>
        <v/>
      </c>
      <c r="E57" s="40" t="str">
        <f>IFERROR('Communication Tracker'!L57,"")</f>
        <v/>
      </c>
      <c r="F57" s="40" t="str">
        <f>IFERROR(IF(ISNUMBER('Communication Tracker'!N57),'Communication Tracker'!N57,""),"")</f>
        <v/>
      </c>
      <c r="G57" s="34" t="str">
        <f>IF('Communication Tracker'!O57="","",'Communication Tracker'!O57)</f>
        <v/>
      </c>
      <c r="H57" s="39" t="str">
        <f>IF('Communication Tracker'!B57="","",IF(OR('Communication Tracker'!O57="Positive Reply",'Communication Tracker'!O57="Accepted",'Communication Tracker'!O57="Rejected"),"Case closed - no action needed",IF(ISNUMBER('Communication Tracker'!M57),IF('Communication Tracker'!M57&gt;14,"URGENT - send a follow-up today",IF('Communication Tracker'!M57&gt;=7,"Prepare follow-up - send within "&amp;(14-'Communication Tracker'!M57)&amp;" days","Monitoring - next follow-up in "&amp;(14-'Communication Tracker'!M57)&amp;" days")),"")))</f>
        <v/>
      </c>
    </row>
    <row r="58" spans="1:8" ht="24" customHeight="1" x14ac:dyDescent="0.3">
      <c r="A58" s="61" t="str">
        <f>IF('Communication Tracker'!B58="","",55)</f>
        <v/>
      </c>
      <c r="B58" s="39" t="str">
        <f>IF('Communication Tracker'!B58="","",'Communication Tracker'!B58)</f>
        <v/>
      </c>
      <c r="C58" s="36" t="str">
        <f>IF('Communication Tracker'!C58="","",'Communication Tracker'!C58)</f>
        <v/>
      </c>
      <c r="D58" s="62" t="str">
        <f ca="1">IFERROR(IF(ISNUMBER('Communication Tracker'!M58),'Communication Tracker'!M58,""),"")</f>
        <v/>
      </c>
      <c r="E58" s="40" t="str">
        <f>IFERROR('Communication Tracker'!L58,"")</f>
        <v/>
      </c>
      <c r="F58" s="40" t="str">
        <f>IFERROR(IF(ISNUMBER('Communication Tracker'!N58),'Communication Tracker'!N58,""),"")</f>
        <v/>
      </c>
      <c r="G58" s="34" t="str">
        <f>IF('Communication Tracker'!O58="","",'Communication Tracker'!O58)</f>
        <v/>
      </c>
      <c r="H58" s="39" t="str">
        <f>IF('Communication Tracker'!B58="","",IF(OR('Communication Tracker'!O58="Positive Reply",'Communication Tracker'!O58="Accepted",'Communication Tracker'!O58="Rejected"),"Case closed - no action needed",IF(ISNUMBER('Communication Tracker'!M58),IF('Communication Tracker'!M58&gt;14,"URGENT - send a follow-up today",IF('Communication Tracker'!M58&gt;=7,"Prepare follow-up - send within "&amp;(14-'Communication Tracker'!M58)&amp;" days","Monitoring - next follow-up in "&amp;(14-'Communication Tracker'!M58)&amp;" days")),"")))</f>
        <v/>
      </c>
    </row>
    <row r="59" spans="1:8" ht="24" customHeight="1" x14ac:dyDescent="0.3">
      <c r="A59" s="61" t="str">
        <f>IF('Communication Tracker'!B59="","",56)</f>
        <v/>
      </c>
      <c r="B59" s="39" t="str">
        <f>IF('Communication Tracker'!B59="","",'Communication Tracker'!B59)</f>
        <v/>
      </c>
      <c r="C59" s="36" t="str">
        <f>IF('Communication Tracker'!C59="","",'Communication Tracker'!C59)</f>
        <v/>
      </c>
      <c r="D59" s="62" t="str">
        <f ca="1">IFERROR(IF(ISNUMBER('Communication Tracker'!M59),'Communication Tracker'!M59,""),"")</f>
        <v/>
      </c>
      <c r="E59" s="40" t="str">
        <f>IFERROR('Communication Tracker'!L59,"")</f>
        <v/>
      </c>
      <c r="F59" s="40" t="str">
        <f>IFERROR(IF(ISNUMBER('Communication Tracker'!N59),'Communication Tracker'!N59,""),"")</f>
        <v/>
      </c>
      <c r="G59" s="34" t="str">
        <f>IF('Communication Tracker'!O59="","",'Communication Tracker'!O59)</f>
        <v/>
      </c>
      <c r="H59" s="39" t="str">
        <f>IF('Communication Tracker'!B59="","",IF(OR('Communication Tracker'!O59="Positive Reply",'Communication Tracker'!O59="Accepted",'Communication Tracker'!O59="Rejected"),"Case closed - no action needed",IF(ISNUMBER('Communication Tracker'!M59),IF('Communication Tracker'!M59&gt;14,"URGENT - send a follow-up today",IF('Communication Tracker'!M59&gt;=7,"Prepare follow-up - send within "&amp;(14-'Communication Tracker'!M59)&amp;" days","Monitoring - next follow-up in "&amp;(14-'Communication Tracker'!M59)&amp;" days")),"")))</f>
        <v/>
      </c>
    </row>
    <row r="60" spans="1:8" ht="24" customHeight="1" x14ac:dyDescent="0.3">
      <c r="A60" s="61" t="str">
        <f>IF('Communication Tracker'!B60="","",57)</f>
        <v/>
      </c>
      <c r="B60" s="39" t="str">
        <f>IF('Communication Tracker'!B60="","",'Communication Tracker'!B60)</f>
        <v/>
      </c>
      <c r="C60" s="36" t="str">
        <f>IF('Communication Tracker'!C60="","",'Communication Tracker'!C60)</f>
        <v/>
      </c>
      <c r="D60" s="62" t="str">
        <f ca="1">IFERROR(IF(ISNUMBER('Communication Tracker'!M60),'Communication Tracker'!M60,""),"")</f>
        <v/>
      </c>
      <c r="E60" s="40" t="str">
        <f>IFERROR('Communication Tracker'!L60,"")</f>
        <v/>
      </c>
      <c r="F60" s="40" t="str">
        <f>IFERROR(IF(ISNUMBER('Communication Tracker'!N60),'Communication Tracker'!N60,""),"")</f>
        <v/>
      </c>
      <c r="G60" s="34" t="str">
        <f>IF('Communication Tracker'!O60="","",'Communication Tracker'!O60)</f>
        <v/>
      </c>
      <c r="H60" s="39" t="str">
        <f>IF('Communication Tracker'!B60="","",IF(OR('Communication Tracker'!O60="Positive Reply",'Communication Tracker'!O60="Accepted",'Communication Tracker'!O60="Rejected"),"Case closed - no action needed",IF(ISNUMBER('Communication Tracker'!M60),IF('Communication Tracker'!M60&gt;14,"URGENT - send a follow-up today",IF('Communication Tracker'!M60&gt;=7,"Prepare follow-up - send within "&amp;(14-'Communication Tracker'!M60)&amp;" days","Monitoring - next follow-up in "&amp;(14-'Communication Tracker'!M60)&amp;" days")),"")))</f>
        <v/>
      </c>
    </row>
    <row r="61" spans="1:8" ht="24" customHeight="1" x14ac:dyDescent="0.3">
      <c r="A61" s="61" t="str">
        <f>IF('Communication Tracker'!B61="","",58)</f>
        <v/>
      </c>
      <c r="B61" s="39" t="str">
        <f>IF('Communication Tracker'!B61="","",'Communication Tracker'!B61)</f>
        <v/>
      </c>
      <c r="C61" s="36" t="str">
        <f>IF('Communication Tracker'!C61="","",'Communication Tracker'!C61)</f>
        <v/>
      </c>
      <c r="D61" s="62" t="str">
        <f ca="1">IFERROR(IF(ISNUMBER('Communication Tracker'!M61),'Communication Tracker'!M61,""),"")</f>
        <v/>
      </c>
      <c r="E61" s="40" t="str">
        <f>IFERROR('Communication Tracker'!L61,"")</f>
        <v/>
      </c>
      <c r="F61" s="40" t="str">
        <f>IFERROR(IF(ISNUMBER('Communication Tracker'!N61),'Communication Tracker'!N61,""),"")</f>
        <v/>
      </c>
      <c r="G61" s="34" t="str">
        <f>IF('Communication Tracker'!O61="","",'Communication Tracker'!O61)</f>
        <v/>
      </c>
      <c r="H61" s="39" t="str">
        <f>IF('Communication Tracker'!B61="","",IF(OR('Communication Tracker'!O61="Positive Reply",'Communication Tracker'!O61="Accepted",'Communication Tracker'!O61="Rejected"),"Case closed - no action needed",IF(ISNUMBER('Communication Tracker'!M61),IF('Communication Tracker'!M61&gt;14,"URGENT - send a follow-up today",IF('Communication Tracker'!M61&gt;=7,"Prepare follow-up - send within "&amp;(14-'Communication Tracker'!M61)&amp;" days","Monitoring - next follow-up in "&amp;(14-'Communication Tracker'!M61)&amp;" days")),"")))</f>
        <v/>
      </c>
    </row>
    <row r="62" spans="1:8" ht="24" customHeight="1" x14ac:dyDescent="0.3">
      <c r="A62" s="61" t="str">
        <f>IF('Communication Tracker'!B62="","",59)</f>
        <v/>
      </c>
      <c r="B62" s="39" t="str">
        <f>IF('Communication Tracker'!B62="","",'Communication Tracker'!B62)</f>
        <v/>
      </c>
      <c r="C62" s="36" t="str">
        <f>IF('Communication Tracker'!C62="","",'Communication Tracker'!C62)</f>
        <v/>
      </c>
      <c r="D62" s="62" t="str">
        <f ca="1">IFERROR(IF(ISNUMBER('Communication Tracker'!M62),'Communication Tracker'!M62,""),"")</f>
        <v/>
      </c>
      <c r="E62" s="40" t="str">
        <f>IFERROR('Communication Tracker'!L62,"")</f>
        <v/>
      </c>
      <c r="F62" s="40" t="str">
        <f>IFERROR(IF(ISNUMBER('Communication Tracker'!N62),'Communication Tracker'!N62,""),"")</f>
        <v/>
      </c>
      <c r="G62" s="34" t="str">
        <f>IF('Communication Tracker'!O62="","",'Communication Tracker'!O62)</f>
        <v/>
      </c>
      <c r="H62" s="39" t="str">
        <f>IF('Communication Tracker'!B62="","",IF(OR('Communication Tracker'!O62="Positive Reply",'Communication Tracker'!O62="Accepted",'Communication Tracker'!O62="Rejected"),"Case closed - no action needed",IF(ISNUMBER('Communication Tracker'!M62),IF('Communication Tracker'!M62&gt;14,"URGENT - send a follow-up today",IF('Communication Tracker'!M62&gt;=7,"Prepare follow-up - send within "&amp;(14-'Communication Tracker'!M62)&amp;" days","Monitoring - next follow-up in "&amp;(14-'Communication Tracker'!M62)&amp;" days")),"")))</f>
        <v/>
      </c>
    </row>
    <row r="63" spans="1:8" ht="24" customHeight="1" x14ac:dyDescent="0.3">
      <c r="A63" s="61" t="str">
        <f>IF('Communication Tracker'!B63="","",60)</f>
        <v/>
      </c>
      <c r="B63" s="39" t="str">
        <f>IF('Communication Tracker'!B63="","",'Communication Tracker'!B63)</f>
        <v/>
      </c>
      <c r="C63" s="36" t="str">
        <f>IF('Communication Tracker'!C63="","",'Communication Tracker'!C63)</f>
        <v/>
      </c>
      <c r="D63" s="62" t="str">
        <f ca="1">IFERROR(IF(ISNUMBER('Communication Tracker'!M63),'Communication Tracker'!M63,""),"")</f>
        <v/>
      </c>
      <c r="E63" s="40" t="str">
        <f>IFERROR('Communication Tracker'!L63,"")</f>
        <v/>
      </c>
      <c r="F63" s="40" t="str">
        <f>IFERROR(IF(ISNUMBER('Communication Tracker'!N63),'Communication Tracker'!N63,""),"")</f>
        <v/>
      </c>
      <c r="G63" s="34" t="str">
        <f>IF('Communication Tracker'!O63="","",'Communication Tracker'!O63)</f>
        <v/>
      </c>
      <c r="H63" s="39" t="str">
        <f>IF('Communication Tracker'!B63="","",IF(OR('Communication Tracker'!O63="Positive Reply",'Communication Tracker'!O63="Accepted",'Communication Tracker'!O63="Rejected"),"Case closed - no action needed",IF(ISNUMBER('Communication Tracker'!M63),IF('Communication Tracker'!M63&gt;14,"URGENT - send a follow-up today",IF('Communication Tracker'!M63&gt;=7,"Prepare follow-up - send within "&amp;(14-'Communication Tracker'!M63)&amp;" days","Monitoring - next follow-up in "&amp;(14-'Communication Tracker'!M63)&amp;" days")),"")))</f>
        <v/>
      </c>
    </row>
    <row r="64" spans="1:8" ht="24" customHeight="1" x14ac:dyDescent="0.3">
      <c r="A64" s="61" t="str">
        <f>IF('Communication Tracker'!B64="","",61)</f>
        <v/>
      </c>
      <c r="B64" s="39" t="str">
        <f>IF('Communication Tracker'!B64="","",'Communication Tracker'!B64)</f>
        <v/>
      </c>
      <c r="C64" s="36" t="str">
        <f>IF('Communication Tracker'!C64="","",'Communication Tracker'!C64)</f>
        <v/>
      </c>
      <c r="D64" s="62" t="str">
        <f ca="1">IFERROR(IF(ISNUMBER('Communication Tracker'!M64),'Communication Tracker'!M64,""),"")</f>
        <v/>
      </c>
      <c r="E64" s="40" t="str">
        <f>IFERROR('Communication Tracker'!L64,"")</f>
        <v/>
      </c>
      <c r="F64" s="40" t="str">
        <f>IFERROR(IF(ISNUMBER('Communication Tracker'!N64),'Communication Tracker'!N64,""),"")</f>
        <v/>
      </c>
      <c r="G64" s="34" t="str">
        <f>IF('Communication Tracker'!O64="","",'Communication Tracker'!O64)</f>
        <v/>
      </c>
      <c r="H64" s="39" t="str">
        <f>IF('Communication Tracker'!B64="","",IF(OR('Communication Tracker'!O64="Positive Reply",'Communication Tracker'!O64="Accepted",'Communication Tracker'!O64="Rejected"),"Case closed - no action needed",IF(ISNUMBER('Communication Tracker'!M64),IF('Communication Tracker'!M64&gt;14,"URGENT - send a follow-up today",IF('Communication Tracker'!M64&gt;=7,"Prepare follow-up - send within "&amp;(14-'Communication Tracker'!M64)&amp;" days","Monitoring - next follow-up in "&amp;(14-'Communication Tracker'!M64)&amp;" days")),"")))</f>
        <v/>
      </c>
    </row>
    <row r="65" spans="1:8" ht="24" customHeight="1" x14ac:dyDescent="0.3">
      <c r="A65" s="61" t="str">
        <f>IF('Communication Tracker'!B65="","",62)</f>
        <v/>
      </c>
      <c r="B65" s="39" t="str">
        <f>IF('Communication Tracker'!B65="","",'Communication Tracker'!B65)</f>
        <v/>
      </c>
      <c r="C65" s="36" t="str">
        <f>IF('Communication Tracker'!C65="","",'Communication Tracker'!C65)</f>
        <v/>
      </c>
      <c r="D65" s="62" t="str">
        <f ca="1">IFERROR(IF(ISNUMBER('Communication Tracker'!M65),'Communication Tracker'!M65,""),"")</f>
        <v/>
      </c>
      <c r="E65" s="40" t="str">
        <f>IFERROR('Communication Tracker'!L65,"")</f>
        <v/>
      </c>
      <c r="F65" s="40" t="str">
        <f>IFERROR(IF(ISNUMBER('Communication Tracker'!N65),'Communication Tracker'!N65,""),"")</f>
        <v/>
      </c>
      <c r="G65" s="34" t="str">
        <f>IF('Communication Tracker'!O65="","",'Communication Tracker'!O65)</f>
        <v/>
      </c>
      <c r="H65" s="39" t="str">
        <f>IF('Communication Tracker'!B65="","",IF(OR('Communication Tracker'!O65="Positive Reply",'Communication Tracker'!O65="Accepted",'Communication Tracker'!O65="Rejected"),"Case closed - no action needed",IF(ISNUMBER('Communication Tracker'!M65),IF('Communication Tracker'!M65&gt;14,"URGENT - send a follow-up today",IF('Communication Tracker'!M65&gt;=7,"Prepare follow-up - send within "&amp;(14-'Communication Tracker'!M65)&amp;" days","Monitoring - next follow-up in "&amp;(14-'Communication Tracker'!M65)&amp;" days")),"")))</f>
        <v/>
      </c>
    </row>
    <row r="66" spans="1:8" ht="24" customHeight="1" x14ac:dyDescent="0.3">
      <c r="A66" s="61" t="str">
        <f>IF('Communication Tracker'!B66="","",63)</f>
        <v/>
      </c>
      <c r="B66" s="39" t="str">
        <f>IF('Communication Tracker'!B66="","",'Communication Tracker'!B66)</f>
        <v/>
      </c>
      <c r="C66" s="36" t="str">
        <f>IF('Communication Tracker'!C66="","",'Communication Tracker'!C66)</f>
        <v/>
      </c>
      <c r="D66" s="62" t="str">
        <f ca="1">IFERROR(IF(ISNUMBER('Communication Tracker'!M66),'Communication Tracker'!M66,""),"")</f>
        <v/>
      </c>
      <c r="E66" s="40" t="str">
        <f>IFERROR('Communication Tracker'!L66,"")</f>
        <v/>
      </c>
      <c r="F66" s="40" t="str">
        <f>IFERROR(IF(ISNUMBER('Communication Tracker'!N66),'Communication Tracker'!N66,""),"")</f>
        <v/>
      </c>
      <c r="G66" s="34" t="str">
        <f>IF('Communication Tracker'!O66="","",'Communication Tracker'!O66)</f>
        <v/>
      </c>
      <c r="H66" s="39" t="str">
        <f>IF('Communication Tracker'!B66="","",IF(OR('Communication Tracker'!O66="Positive Reply",'Communication Tracker'!O66="Accepted",'Communication Tracker'!O66="Rejected"),"Case closed - no action needed",IF(ISNUMBER('Communication Tracker'!M66),IF('Communication Tracker'!M66&gt;14,"URGENT - send a follow-up today",IF('Communication Tracker'!M66&gt;=7,"Prepare follow-up - send within "&amp;(14-'Communication Tracker'!M66)&amp;" days","Monitoring - next follow-up in "&amp;(14-'Communication Tracker'!M66)&amp;" days")),"")))</f>
        <v/>
      </c>
    </row>
    <row r="67" spans="1:8" ht="24" customHeight="1" x14ac:dyDescent="0.3">
      <c r="A67" s="61" t="str">
        <f>IF('Communication Tracker'!B67="","",64)</f>
        <v/>
      </c>
      <c r="B67" s="39" t="str">
        <f>IF('Communication Tracker'!B67="","",'Communication Tracker'!B67)</f>
        <v/>
      </c>
      <c r="C67" s="36" t="str">
        <f>IF('Communication Tracker'!C67="","",'Communication Tracker'!C67)</f>
        <v/>
      </c>
      <c r="D67" s="62" t="str">
        <f ca="1">IFERROR(IF(ISNUMBER('Communication Tracker'!M67),'Communication Tracker'!M67,""),"")</f>
        <v/>
      </c>
      <c r="E67" s="40" t="str">
        <f>IFERROR('Communication Tracker'!L67,"")</f>
        <v/>
      </c>
      <c r="F67" s="40" t="str">
        <f>IFERROR(IF(ISNUMBER('Communication Tracker'!N67),'Communication Tracker'!N67,""),"")</f>
        <v/>
      </c>
      <c r="G67" s="34" t="str">
        <f>IF('Communication Tracker'!O67="","",'Communication Tracker'!O67)</f>
        <v/>
      </c>
      <c r="H67" s="39" t="str">
        <f>IF('Communication Tracker'!B67="","",IF(OR('Communication Tracker'!O67="Positive Reply",'Communication Tracker'!O67="Accepted",'Communication Tracker'!O67="Rejected"),"Case closed - no action needed",IF(ISNUMBER('Communication Tracker'!M67),IF('Communication Tracker'!M67&gt;14,"URGENT - send a follow-up today",IF('Communication Tracker'!M67&gt;=7,"Prepare follow-up - send within "&amp;(14-'Communication Tracker'!M67)&amp;" days","Monitoring - next follow-up in "&amp;(14-'Communication Tracker'!M67)&amp;" days")),"")))</f>
        <v/>
      </c>
    </row>
    <row r="68" spans="1:8" ht="24" customHeight="1" x14ac:dyDescent="0.3">
      <c r="A68" s="61" t="str">
        <f>IF('Communication Tracker'!B68="","",65)</f>
        <v/>
      </c>
      <c r="B68" s="39" t="str">
        <f>IF('Communication Tracker'!B68="","",'Communication Tracker'!B68)</f>
        <v/>
      </c>
      <c r="C68" s="36" t="str">
        <f>IF('Communication Tracker'!C68="","",'Communication Tracker'!C68)</f>
        <v/>
      </c>
      <c r="D68" s="62" t="str">
        <f ca="1">IFERROR(IF(ISNUMBER('Communication Tracker'!M68),'Communication Tracker'!M68,""),"")</f>
        <v/>
      </c>
      <c r="E68" s="40" t="str">
        <f>IFERROR('Communication Tracker'!L68,"")</f>
        <v/>
      </c>
      <c r="F68" s="40" t="str">
        <f>IFERROR(IF(ISNUMBER('Communication Tracker'!N68),'Communication Tracker'!N68,""),"")</f>
        <v/>
      </c>
      <c r="G68" s="34" t="str">
        <f>IF('Communication Tracker'!O68="","",'Communication Tracker'!O68)</f>
        <v/>
      </c>
      <c r="H68" s="39" t="str">
        <f>IF('Communication Tracker'!B68="","",IF(OR('Communication Tracker'!O68="Positive Reply",'Communication Tracker'!O68="Accepted",'Communication Tracker'!O68="Rejected"),"Case closed - no action needed",IF(ISNUMBER('Communication Tracker'!M68),IF('Communication Tracker'!M68&gt;14,"URGENT - send a follow-up today",IF('Communication Tracker'!M68&gt;=7,"Prepare follow-up - send within "&amp;(14-'Communication Tracker'!M68)&amp;" days","Monitoring - next follow-up in "&amp;(14-'Communication Tracker'!M68)&amp;" days")),"")))</f>
        <v/>
      </c>
    </row>
    <row r="69" spans="1:8" ht="24" customHeight="1" x14ac:dyDescent="0.3">
      <c r="A69" s="61" t="str">
        <f>IF('Communication Tracker'!B69="","",66)</f>
        <v/>
      </c>
      <c r="B69" s="39" t="str">
        <f>IF('Communication Tracker'!B69="","",'Communication Tracker'!B69)</f>
        <v/>
      </c>
      <c r="C69" s="36" t="str">
        <f>IF('Communication Tracker'!C69="","",'Communication Tracker'!C69)</f>
        <v/>
      </c>
      <c r="D69" s="62" t="str">
        <f ca="1">IFERROR(IF(ISNUMBER('Communication Tracker'!M69),'Communication Tracker'!M69,""),"")</f>
        <v/>
      </c>
      <c r="E69" s="40" t="str">
        <f>IFERROR('Communication Tracker'!L69,"")</f>
        <v/>
      </c>
      <c r="F69" s="40" t="str">
        <f>IFERROR(IF(ISNUMBER('Communication Tracker'!N69),'Communication Tracker'!N69,""),"")</f>
        <v/>
      </c>
      <c r="G69" s="34" t="str">
        <f>IF('Communication Tracker'!O69="","",'Communication Tracker'!O69)</f>
        <v/>
      </c>
      <c r="H69" s="39" t="str">
        <f>IF('Communication Tracker'!B69="","",IF(OR('Communication Tracker'!O69="Positive Reply",'Communication Tracker'!O69="Accepted",'Communication Tracker'!O69="Rejected"),"Case closed - no action needed",IF(ISNUMBER('Communication Tracker'!M69),IF('Communication Tracker'!M69&gt;14,"URGENT - send a follow-up today",IF('Communication Tracker'!M69&gt;=7,"Prepare follow-up - send within "&amp;(14-'Communication Tracker'!M69)&amp;" days","Monitoring - next follow-up in "&amp;(14-'Communication Tracker'!M69)&amp;" days")),"")))</f>
        <v/>
      </c>
    </row>
    <row r="70" spans="1:8" ht="24" customHeight="1" x14ac:dyDescent="0.3">
      <c r="A70" s="61" t="str">
        <f>IF('Communication Tracker'!B70="","",67)</f>
        <v/>
      </c>
      <c r="B70" s="39" t="str">
        <f>IF('Communication Tracker'!B70="","",'Communication Tracker'!B70)</f>
        <v/>
      </c>
      <c r="C70" s="36" t="str">
        <f>IF('Communication Tracker'!C70="","",'Communication Tracker'!C70)</f>
        <v/>
      </c>
      <c r="D70" s="62" t="str">
        <f ca="1">IFERROR(IF(ISNUMBER('Communication Tracker'!M70),'Communication Tracker'!M70,""),"")</f>
        <v/>
      </c>
      <c r="E70" s="40" t="str">
        <f>IFERROR('Communication Tracker'!L70,"")</f>
        <v/>
      </c>
      <c r="F70" s="40" t="str">
        <f>IFERROR(IF(ISNUMBER('Communication Tracker'!N70),'Communication Tracker'!N70,""),"")</f>
        <v/>
      </c>
      <c r="G70" s="34" t="str">
        <f>IF('Communication Tracker'!O70="","",'Communication Tracker'!O70)</f>
        <v/>
      </c>
      <c r="H70" s="39" t="str">
        <f>IF('Communication Tracker'!B70="","",IF(OR('Communication Tracker'!O70="Positive Reply",'Communication Tracker'!O70="Accepted",'Communication Tracker'!O70="Rejected"),"Case closed - no action needed",IF(ISNUMBER('Communication Tracker'!M70),IF('Communication Tracker'!M70&gt;14,"URGENT - send a follow-up today",IF('Communication Tracker'!M70&gt;=7,"Prepare follow-up - send within "&amp;(14-'Communication Tracker'!M70)&amp;" days","Monitoring - next follow-up in "&amp;(14-'Communication Tracker'!M70)&amp;" days")),"")))</f>
        <v/>
      </c>
    </row>
    <row r="71" spans="1:8" ht="24" customHeight="1" x14ac:dyDescent="0.3">
      <c r="A71" s="61" t="str">
        <f>IF('Communication Tracker'!B71="","",68)</f>
        <v/>
      </c>
      <c r="B71" s="39" t="str">
        <f>IF('Communication Tracker'!B71="","",'Communication Tracker'!B71)</f>
        <v/>
      </c>
      <c r="C71" s="36" t="str">
        <f>IF('Communication Tracker'!C71="","",'Communication Tracker'!C71)</f>
        <v/>
      </c>
      <c r="D71" s="62" t="str">
        <f ca="1">IFERROR(IF(ISNUMBER('Communication Tracker'!M71),'Communication Tracker'!M71,""),"")</f>
        <v/>
      </c>
      <c r="E71" s="40" t="str">
        <f>IFERROR('Communication Tracker'!L71,"")</f>
        <v/>
      </c>
      <c r="F71" s="40" t="str">
        <f>IFERROR(IF(ISNUMBER('Communication Tracker'!N71),'Communication Tracker'!N71,""),"")</f>
        <v/>
      </c>
      <c r="G71" s="34" t="str">
        <f>IF('Communication Tracker'!O71="","",'Communication Tracker'!O71)</f>
        <v/>
      </c>
      <c r="H71" s="39" t="str">
        <f>IF('Communication Tracker'!B71="","",IF(OR('Communication Tracker'!O71="Positive Reply",'Communication Tracker'!O71="Accepted",'Communication Tracker'!O71="Rejected"),"Case closed - no action needed",IF(ISNUMBER('Communication Tracker'!M71),IF('Communication Tracker'!M71&gt;14,"URGENT - send a follow-up today",IF('Communication Tracker'!M71&gt;=7,"Prepare follow-up - send within "&amp;(14-'Communication Tracker'!M71)&amp;" days","Monitoring - next follow-up in "&amp;(14-'Communication Tracker'!M71)&amp;" days")),"")))</f>
        <v/>
      </c>
    </row>
    <row r="72" spans="1:8" ht="24" customHeight="1" x14ac:dyDescent="0.3">
      <c r="A72" s="61" t="str">
        <f>IF('Communication Tracker'!B72="","",69)</f>
        <v/>
      </c>
      <c r="B72" s="39" t="str">
        <f>IF('Communication Tracker'!B72="","",'Communication Tracker'!B72)</f>
        <v/>
      </c>
      <c r="C72" s="36" t="str">
        <f>IF('Communication Tracker'!C72="","",'Communication Tracker'!C72)</f>
        <v/>
      </c>
      <c r="D72" s="62" t="str">
        <f ca="1">IFERROR(IF(ISNUMBER('Communication Tracker'!M72),'Communication Tracker'!M72,""),"")</f>
        <v/>
      </c>
      <c r="E72" s="40" t="str">
        <f>IFERROR('Communication Tracker'!L72,"")</f>
        <v/>
      </c>
      <c r="F72" s="40" t="str">
        <f>IFERROR(IF(ISNUMBER('Communication Tracker'!N72),'Communication Tracker'!N72,""),"")</f>
        <v/>
      </c>
      <c r="G72" s="34" t="str">
        <f>IF('Communication Tracker'!O72="","",'Communication Tracker'!O72)</f>
        <v/>
      </c>
      <c r="H72" s="39" t="str">
        <f>IF('Communication Tracker'!B72="","",IF(OR('Communication Tracker'!O72="Positive Reply",'Communication Tracker'!O72="Accepted",'Communication Tracker'!O72="Rejected"),"Case closed - no action needed",IF(ISNUMBER('Communication Tracker'!M72),IF('Communication Tracker'!M72&gt;14,"URGENT - send a follow-up today",IF('Communication Tracker'!M72&gt;=7,"Prepare follow-up - send within "&amp;(14-'Communication Tracker'!M72)&amp;" days","Monitoring - next follow-up in "&amp;(14-'Communication Tracker'!M72)&amp;" days")),"")))</f>
        <v/>
      </c>
    </row>
    <row r="73" spans="1:8" ht="24" customHeight="1" x14ac:dyDescent="0.3">
      <c r="A73" s="61" t="str">
        <f>IF('Communication Tracker'!B73="","",70)</f>
        <v/>
      </c>
      <c r="B73" s="39" t="str">
        <f>IF('Communication Tracker'!B73="","",'Communication Tracker'!B73)</f>
        <v/>
      </c>
      <c r="C73" s="36" t="str">
        <f>IF('Communication Tracker'!C73="","",'Communication Tracker'!C73)</f>
        <v/>
      </c>
      <c r="D73" s="62" t="str">
        <f ca="1">IFERROR(IF(ISNUMBER('Communication Tracker'!M73),'Communication Tracker'!M73,""),"")</f>
        <v/>
      </c>
      <c r="E73" s="40" t="str">
        <f>IFERROR('Communication Tracker'!L73,"")</f>
        <v/>
      </c>
      <c r="F73" s="40" t="str">
        <f>IFERROR(IF(ISNUMBER('Communication Tracker'!N73),'Communication Tracker'!N73,""),"")</f>
        <v/>
      </c>
      <c r="G73" s="34" t="str">
        <f>IF('Communication Tracker'!O73="","",'Communication Tracker'!O73)</f>
        <v/>
      </c>
      <c r="H73" s="39" t="str">
        <f>IF('Communication Tracker'!B73="","",IF(OR('Communication Tracker'!O73="Positive Reply",'Communication Tracker'!O73="Accepted",'Communication Tracker'!O73="Rejected"),"Case closed - no action needed",IF(ISNUMBER('Communication Tracker'!M73),IF('Communication Tracker'!M73&gt;14,"URGENT - send a follow-up today",IF('Communication Tracker'!M73&gt;=7,"Prepare follow-up - send within "&amp;(14-'Communication Tracker'!M73)&amp;" days","Monitoring - next follow-up in "&amp;(14-'Communication Tracker'!M73)&amp;" days")),"")))</f>
        <v/>
      </c>
    </row>
    <row r="74" spans="1:8" ht="24" customHeight="1" x14ac:dyDescent="0.3">
      <c r="A74" s="61" t="str">
        <f>IF('Communication Tracker'!B74="","",71)</f>
        <v/>
      </c>
      <c r="B74" s="39" t="str">
        <f>IF('Communication Tracker'!B74="","",'Communication Tracker'!B74)</f>
        <v/>
      </c>
      <c r="C74" s="36" t="str">
        <f>IF('Communication Tracker'!C74="","",'Communication Tracker'!C74)</f>
        <v/>
      </c>
      <c r="D74" s="62" t="str">
        <f ca="1">IFERROR(IF(ISNUMBER('Communication Tracker'!M74),'Communication Tracker'!M74,""),"")</f>
        <v/>
      </c>
      <c r="E74" s="40" t="str">
        <f>IFERROR('Communication Tracker'!L74,"")</f>
        <v/>
      </c>
      <c r="F74" s="40" t="str">
        <f>IFERROR(IF(ISNUMBER('Communication Tracker'!N74),'Communication Tracker'!N74,""),"")</f>
        <v/>
      </c>
      <c r="G74" s="34" t="str">
        <f>IF('Communication Tracker'!O74="","",'Communication Tracker'!O74)</f>
        <v/>
      </c>
      <c r="H74" s="39" t="str">
        <f>IF('Communication Tracker'!B74="","",IF(OR('Communication Tracker'!O74="Positive Reply",'Communication Tracker'!O74="Accepted",'Communication Tracker'!O74="Rejected"),"Case closed - no action needed",IF(ISNUMBER('Communication Tracker'!M74),IF('Communication Tracker'!M74&gt;14,"URGENT - send a follow-up today",IF('Communication Tracker'!M74&gt;=7,"Prepare follow-up - send within "&amp;(14-'Communication Tracker'!M74)&amp;" days","Monitoring - next follow-up in "&amp;(14-'Communication Tracker'!M74)&amp;" days")),"")))</f>
        <v/>
      </c>
    </row>
    <row r="75" spans="1:8" ht="24" customHeight="1" x14ac:dyDescent="0.3">
      <c r="A75" s="61" t="str">
        <f>IF('Communication Tracker'!B75="","",72)</f>
        <v/>
      </c>
      <c r="B75" s="39" t="str">
        <f>IF('Communication Tracker'!B75="","",'Communication Tracker'!B75)</f>
        <v/>
      </c>
      <c r="C75" s="36" t="str">
        <f>IF('Communication Tracker'!C75="","",'Communication Tracker'!C75)</f>
        <v/>
      </c>
      <c r="D75" s="62" t="str">
        <f ca="1">IFERROR(IF(ISNUMBER('Communication Tracker'!M75),'Communication Tracker'!M75,""),"")</f>
        <v/>
      </c>
      <c r="E75" s="40" t="str">
        <f>IFERROR('Communication Tracker'!L75,"")</f>
        <v/>
      </c>
      <c r="F75" s="40" t="str">
        <f>IFERROR(IF(ISNUMBER('Communication Tracker'!N75),'Communication Tracker'!N75,""),"")</f>
        <v/>
      </c>
      <c r="G75" s="34" t="str">
        <f>IF('Communication Tracker'!O75="","",'Communication Tracker'!O75)</f>
        <v/>
      </c>
      <c r="H75" s="39" t="str">
        <f>IF('Communication Tracker'!B75="","",IF(OR('Communication Tracker'!O75="Positive Reply",'Communication Tracker'!O75="Accepted",'Communication Tracker'!O75="Rejected"),"Case closed - no action needed",IF(ISNUMBER('Communication Tracker'!M75),IF('Communication Tracker'!M75&gt;14,"URGENT - send a follow-up today",IF('Communication Tracker'!M75&gt;=7,"Prepare follow-up - send within "&amp;(14-'Communication Tracker'!M75)&amp;" days","Monitoring - next follow-up in "&amp;(14-'Communication Tracker'!M75)&amp;" days")),"")))</f>
        <v/>
      </c>
    </row>
    <row r="76" spans="1:8" ht="24" customHeight="1" x14ac:dyDescent="0.3">
      <c r="A76" s="61" t="str">
        <f>IF('Communication Tracker'!B76="","",73)</f>
        <v/>
      </c>
      <c r="B76" s="39" t="str">
        <f>IF('Communication Tracker'!B76="","",'Communication Tracker'!B76)</f>
        <v/>
      </c>
      <c r="C76" s="36" t="str">
        <f>IF('Communication Tracker'!C76="","",'Communication Tracker'!C76)</f>
        <v/>
      </c>
      <c r="D76" s="62" t="str">
        <f ca="1">IFERROR(IF(ISNUMBER('Communication Tracker'!M76),'Communication Tracker'!M76,""),"")</f>
        <v/>
      </c>
      <c r="E76" s="40" t="str">
        <f>IFERROR('Communication Tracker'!L76,"")</f>
        <v/>
      </c>
      <c r="F76" s="40" t="str">
        <f>IFERROR(IF(ISNUMBER('Communication Tracker'!N76),'Communication Tracker'!N76,""),"")</f>
        <v/>
      </c>
      <c r="G76" s="34" t="str">
        <f>IF('Communication Tracker'!O76="","",'Communication Tracker'!O76)</f>
        <v/>
      </c>
      <c r="H76" s="39" t="str">
        <f>IF('Communication Tracker'!B76="","",IF(OR('Communication Tracker'!O76="Positive Reply",'Communication Tracker'!O76="Accepted",'Communication Tracker'!O76="Rejected"),"Case closed - no action needed",IF(ISNUMBER('Communication Tracker'!M76),IF('Communication Tracker'!M76&gt;14,"URGENT - send a follow-up today",IF('Communication Tracker'!M76&gt;=7,"Prepare follow-up - send within "&amp;(14-'Communication Tracker'!M76)&amp;" days","Monitoring - next follow-up in "&amp;(14-'Communication Tracker'!M76)&amp;" days")),"")))</f>
        <v/>
      </c>
    </row>
    <row r="77" spans="1:8" ht="24" customHeight="1" x14ac:dyDescent="0.3">
      <c r="A77" s="61" t="str">
        <f>IF('Communication Tracker'!B77="","",74)</f>
        <v/>
      </c>
      <c r="B77" s="39" t="str">
        <f>IF('Communication Tracker'!B77="","",'Communication Tracker'!B77)</f>
        <v/>
      </c>
      <c r="C77" s="36" t="str">
        <f>IF('Communication Tracker'!C77="","",'Communication Tracker'!C77)</f>
        <v/>
      </c>
      <c r="D77" s="62" t="str">
        <f ca="1">IFERROR(IF(ISNUMBER('Communication Tracker'!M77),'Communication Tracker'!M77,""),"")</f>
        <v/>
      </c>
      <c r="E77" s="40" t="str">
        <f>IFERROR('Communication Tracker'!L77,"")</f>
        <v/>
      </c>
      <c r="F77" s="40" t="str">
        <f>IFERROR(IF(ISNUMBER('Communication Tracker'!N77),'Communication Tracker'!N77,""),"")</f>
        <v/>
      </c>
      <c r="G77" s="34" t="str">
        <f>IF('Communication Tracker'!O77="","",'Communication Tracker'!O77)</f>
        <v/>
      </c>
      <c r="H77" s="39" t="str">
        <f>IF('Communication Tracker'!B77="","",IF(OR('Communication Tracker'!O77="Positive Reply",'Communication Tracker'!O77="Accepted",'Communication Tracker'!O77="Rejected"),"Case closed - no action needed",IF(ISNUMBER('Communication Tracker'!M77),IF('Communication Tracker'!M77&gt;14,"URGENT - send a follow-up today",IF('Communication Tracker'!M77&gt;=7,"Prepare follow-up - send within "&amp;(14-'Communication Tracker'!M77)&amp;" days","Monitoring - next follow-up in "&amp;(14-'Communication Tracker'!M77)&amp;" days")),"")))</f>
        <v/>
      </c>
    </row>
    <row r="78" spans="1:8" ht="24" customHeight="1" x14ac:dyDescent="0.3">
      <c r="A78" s="61" t="str">
        <f>IF('Communication Tracker'!B78="","",75)</f>
        <v/>
      </c>
      <c r="B78" s="39" t="str">
        <f>IF('Communication Tracker'!B78="","",'Communication Tracker'!B78)</f>
        <v/>
      </c>
      <c r="C78" s="36" t="str">
        <f>IF('Communication Tracker'!C78="","",'Communication Tracker'!C78)</f>
        <v/>
      </c>
      <c r="D78" s="62" t="str">
        <f ca="1">IFERROR(IF(ISNUMBER('Communication Tracker'!M78),'Communication Tracker'!M78,""),"")</f>
        <v/>
      </c>
      <c r="E78" s="40" t="str">
        <f>IFERROR('Communication Tracker'!L78,"")</f>
        <v/>
      </c>
      <c r="F78" s="40" t="str">
        <f>IFERROR(IF(ISNUMBER('Communication Tracker'!N78),'Communication Tracker'!N78,""),"")</f>
        <v/>
      </c>
      <c r="G78" s="34" t="str">
        <f>IF('Communication Tracker'!O78="","",'Communication Tracker'!O78)</f>
        <v/>
      </c>
      <c r="H78" s="39" t="str">
        <f>IF('Communication Tracker'!B78="","",IF(OR('Communication Tracker'!O78="Positive Reply",'Communication Tracker'!O78="Accepted",'Communication Tracker'!O78="Rejected"),"Case closed - no action needed",IF(ISNUMBER('Communication Tracker'!M78),IF('Communication Tracker'!M78&gt;14,"URGENT - send a follow-up today",IF('Communication Tracker'!M78&gt;=7,"Prepare follow-up - send within "&amp;(14-'Communication Tracker'!M78)&amp;" days","Monitoring - next follow-up in "&amp;(14-'Communication Tracker'!M78)&amp;" days")),"")))</f>
        <v/>
      </c>
    </row>
    <row r="79" spans="1:8" ht="24" customHeight="1" x14ac:dyDescent="0.3">
      <c r="A79" s="61" t="str">
        <f>IF('Communication Tracker'!B79="","",76)</f>
        <v/>
      </c>
      <c r="B79" s="39" t="str">
        <f>IF('Communication Tracker'!B79="","",'Communication Tracker'!B79)</f>
        <v/>
      </c>
      <c r="C79" s="36" t="str">
        <f>IF('Communication Tracker'!C79="","",'Communication Tracker'!C79)</f>
        <v/>
      </c>
      <c r="D79" s="62" t="str">
        <f ca="1">IFERROR(IF(ISNUMBER('Communication Tracker'!M79),'Communication Tracker'!M79,""),"")</f>
        <v/>
      </c>
      <c r="E79" s="40" t="str">
        <f>IFERROR('Communication Tracker'!L79,"")</f>
        <v/>
      </c>
      <c r="F79" s="40" t="str">
        <f>IFERROR(IF(ISNUMBER('Communication Tracker'!N79),'Communication Tracker'!N79,""),"")</f>
        <v/>
      </c>
      <c r="G79" s="34" t="str">
        <f>IF('Communication Tracker'!O79="","",'Communication Tracker'!O79)</f>
        <v/>
      </c>
      <c r="H79" s="39" t="str">
        <f>IF('Communication Tracker'!B79="","",IF(OR('Communication Tracker'!O79="Positive Reply",'Communication Tracker'!O79="Accepted",'Communication Tracker'!O79="Rejected"),"Case closed - no action needed",IF(ISNUMBER('Communication Tracker'!M79),IF('Communication Tracker'!M79&gt;14,"URGENT - send a follow-up today",IF('Communication Tracker'!M79&gt;=7,"Prepare follow-up - send within "&amp;(14-'Communication Tracker'!M79)&amp;" days","Monitoring - next follow-up in "&amp;(14-'Communication Tracker'!M79)&amp;" days")),"")))</f>
        <v/>
      </c>
    </row>
    <row r="80" spans="1:8" ht="24" customHeight="1" x14ac:dyDescent="0.3">
      <c r="A80" s="61" t="str">
        <f>IF('Communication Tracker'!B80="","",77)</f>
        <v/>
      </c>
      <c r="B80" s="39" t="str">
        <f>IF('Communication Tracker'!B80="","",'Communication Tracker'!B80)</f>
        <v/>
      </c>
      <c r="C80" s="36" t="str">
        <f>IF('Communication Tracker'!C80="","",'Communication Tracker'!C80)</f>
        <v/>
      </c>
      <c r="D80" s="62" t="str">
        <f ca="1">IFERROR(IF(ISNUMBER('Communication Tracker'!M80),'Communication Tracker'!M80,""),"")</f>
        <v/>
      </c>
      <c r="E80" s="40" t="str">
        <f>IFERROR('Communication Tracker'!L80,"")</f>
        <v/>
      </c>
      <c r="F80" s="40" t="str">
        <f>IFERROR(IF(ISNUMBER('Communication Tracker'!N80),'Communication Tracker'!N80,""),"")</f>
        <v/>
      </c>
      <c r="G80" s="34" t="str">
        <f>IF('Communication Tracker'!O80="","",'Communication Tracker'!O80)</f>
        <v/>
      </c>
      <c r="H80" s="39" t="str">
        <f>IF('Communication Tracker'!B80="","",IF(OR('Communication Tracker'!O80="Positive Reply",'Communication Tracker'!O80="Accepted",'Communication Tracker'!O80="Rejected"),"Case closed - no action needed",IF(ISNUMBER('Communication Tracker'!M80),IF('Communication Tracker'!M80&gt;14,"URGENT - send a follow-up today",IF('Communication Tracker'!M80&gt;=7,"Prepare follow-up - send within "&amp;(14-'Communication Tracker'!M80)&amp;" days","Monitoring - next follow-up in "&amp;(14-'Communication Tracker'!M80)&amp;" days")),"")))</f>
        <v/>
      </c>
    </row>
    <row r="81" spans="1:8" ht="24" customHeight="1" x14ac:dyDescent="0.3">
      <c r="A81" s="61" t="str">
        <f>IF('Communication Tracker'!B81="","",78)</f>
        <v/>
      </c>
      <c r="B81" s="39" t="str">
        <f>IF('Communication Tracker'!B81="","",'Communication Tracker'!B81)</f>
        <v/>
      </c>
      <c r="C81" s="36" t="str">
        <f>IF('Communication Tracker'!C81="","",'Communication Tracker'!C81)</f>
        <v/>
      </c>
      <c r="D81" s="62" t="str">
        <f ca="1">IFERROR(IF(ISNUMBER('Communication Tracker'!M81),'Communication Tracker'!M81,""),"")</f>
        <v/>
      </c>
      <c r="E81" s="40" t="str">
        <f>IFERROR('Communication Tracker'!L81,"")</f>
        <v/>
      </c>
      <c r="F81" s="40" t="str">
        <f>IFERROR(IF(ISNUMBER('Communication Tracker'!N81),'Communication Tracker'!N81,""),"")</f>
        <v/>
      </c>
      <c r="G81" s="34" t="str">
        <f>IF('Communication Tracker'!O81="","",'Communication Tracker'!O81)</f>
        <v/>
      </c>
      <c r="H81" s="39" t="str">
        <f>IF('Communication Tracker'!B81="","",IF(OR('Communication Tracker'!O81="Positive Reply",'Communication Tracker'!O81="Accepted",'Communication Tracker'!O81="Rejected"),"Case closed - no action needed",IF(ISNUMBER('Communication Tracker'!M81),IF('Communication Tracker'!M81&gt;14,"URGENT - send a follow-up today",IF('Communication Tracker'!M81&gt;=7,"Prepare follow-up - send within "&amp;(14-'Communication Tracker'!M81)&amp;" days","Monitoring - next follow-up in "&amp;(14-'Communication Tracker'!M81)&amp;" days")),"")))</f>
        <v/>
      </c>
    </row>
    <row r="82" spans="1:8" ht="24" customHeight="1" x14ac:dyDescent="0.3">
      <c r="A82" s="61" t="str">
        <f>IF('Communication Tracker'!B82="","",79)</f>
        <v/>
      </c>
      <c r="B82" s="39" t="str">
        <f>IF('Communication Tracker'!B82="","",'Communication Tracker'!B82)</f>
        <v/>
      </c>
      <c r="C82" s="36" t="str">
        <f>IF('Communication Tracker'!C82="","",'Communication Tracker'!C82)</f>
        <v/>
      </c>
      <c r="D82" s="62" t="str">
        <f ca="1">IFERROR(IF(ISNUMBER('Communication Tracker'!M82),'Communication Tracker'!M82,""),"")</f>
        <v/>
      </c>
      <c r="E82" s="40" t="str">
        <f>IFERROR('Communication Tracker'!L82,"")</f>
        <v/>
      </c>
      <c r="F82" s="40" t="str">
        <f>IFERROR(IF(ISNUMBER('Communication Tracker'!N82),'Communication Tracker'!N82,""),"")</f>
        <v/>
      </c>
      <c r="G82" s="34" t="str">
        <f>IF('Communication Tracker'!O82="","",'Communication Tracker'!O82)</f>
        <v/>
      </c>
      <c r="H82" s="39" t="str">
        <f>IF('Communication Tracker'!B82="","",IF(OR('Communication Tracker'!O82="Positive Reply",'Communication Tracker'!O82="Accepted",'Communication Tracker'!O82="Rejected"),"Case closed - no action needed",IF(ISNUMBER('Communication Tracker'!M82),IF('Communication Tracker'!M82&gt;14,"URGENT - send a follow-up today",IF('Communication Tracker'!M82&gt;=7,"Prepare follow-up - send within "&amp;(14-'Communication Tracker'!M82)&amp;" days","Monitoring - next follow-up in "&amp;(14-'Communication Tracker'!M82)&amp;" days")),"")))</f>
        <v/>
      </c>
    </row>
    <row r="83" spans="1:8" ht="24" customHeight="1" x14ac:dyDescent="0.3">
      <c r="A83" s="61" t="str">
        <f>IF('Communication Tracker'!B83="","",80)</f>
        <v/>
      </c>
      <c r="B83" s="39" t="str">
        <f>IF('Communication Tracker'!B83="","",'Communication Tracker'!B83)</f>
        <v/>
      </c>
      <c r="C83" s="36" t="str">
        <f>IF('Communication Tracker'!C83="","",'Communication Tracker'!C83)</f>
        <v/>
      </c>
      <c r="D83" s="62" t="str">
        <f ca="1">IFERROR(IF(ISNUMBER('Communication Tracker'!M83),'Communication Tracker'!M83,""),"")</f>
        <v/>
      </c>
      <c r="E83" s="40" t="str">
        <f>IFERROR('Communication Tracker'!L83,"")</f>
        <v/>
      </c>
      <c r="F83" s="40" t="str">
        <f>IFERROR(IF(ISNUMBER('Communication Tracker'!N83),'Communication Tracker'!N83,""),"")</f>
        <v/>
      </c>
      <c r="G83" s="34" t="str">
        <f>IF('Communication Tracker'!O83="","",'Communication Tracker'!O83)</f>
        <v/>
      </c>
      <c r="H83" s="39" t="str">
        <f>IF('Communication Tracker'!B83="","",IF(OR('Communication Tracker'!O83="Positive Reply",'Communication Tracker'!O83="Accepted",'Communication Tracker'!O83="Rejected"),"Case closed - no action needed",IF(ISNUMBER('Communication Tracker'!M83),IF('Communication Tracker'!M83&gt;14,"URGENT - send a follow-up today",IF('Communication Tracker'!M83&gt;=7,"Prepare follow-up - send within "&amp;(14-'Communication Tracker'!M83)&amp;" days","Monitoring - next follow-up in "&amp;(14-'Communication Tracker'!M83)&amp;" days")),"")))</f>
        <v/>
      </c>
    </row>
    <row r="84" spans="1:8" ht="24" customHeight="1" x14ac:dyDescent="0.3">
      <c r="A84" s="61" t="str">
        <f>IF('Communication Tracker'!B84="","",81)</f>
        <v/>
      </c>
      <c r="B84" s="39" t="str">
        <f>IF('Communication Tracker'!B84="","",'Communication Tracker'!B84)</f>
        <v/>
      </c>
      <c r="C84" s="36" t="str">
        <f>IF('Communication Tracker'!C84="","",'Communication Tracker'!C84)</f>
        <v/>
      </c>
      <c r="D84" s="62" t="str">
        <f ca="1">IFERROR(IF(ISNUMBER('Communication Tracker'!M84),'Communication Tracker'!M84,""),"")</f>
        <v/>
      </c>
      <c r="E84" s="40" t="str">
        <f>IFERROR('Communication Tracker'!L84,"")</f>
        <v/>
      </c>
      <c r="F84" s="40" t="str">
        <f>IFERROR(IF(ISNUMBER('Communication Tracker'!N84),'Communication Tracker'!N84,""),"")</f>
        <v/>
      </c>
      <c r="G84" s="34" t="str">
        <f>IF('Communication Tracker'!O84="","",'Communication Tracker'!O84)</f>
        <v/>
      </c>
      <c r="H84" s="39" t="str">
        <f>IF('Communication Tracker'!B84="","",IF(OR('Communication Tracker'!O84="Positive Reply",'Communication Tracker'!O84="Accepted",'Communication Tracker'!O84="Rejected"),"Case closed - no action needed",IF(ISNUMBER('Communication Tracker'!M84),IF('Communication Tracker'!M84&gt;14,"URGENT - send a follow-up today",IF('Communication Tracker'!M84&gt;=7,"Prepare follow-up - send within "&amp;(14-'Communication Tracker'!M84)&amp;" days","Monitoring - next follow-up in "&amp;(14-'Communication Tracker'!M84)&amp;" days")),"")))</f>
        <v/>
      </c>
    </row>
    <row r="85" spans="1:8" ht="24" customHeight="1" x14ac:dyDescent="0.3">
      <c r="A85" s="61" t="str">
        <f>IF('Communication Tracker'!B85="","",82)</f>
        <v/>
      </c>
      <c r="B85" s="39" t="str">
        <f>IF('Communication Tracker'!B85="","",'Communication Tracker'!B85)</f>
        <v/>
      </c>
      <c r="C85" s="36" t="str">
        <f>IF('Communication Tracker'!C85="","",'Communication Tracker'!C85)</f>
        <v/>
      </c>
      <c r="D85" s="62" t="str">
        <f ca="1">IFERROR(IF(ISNUMBER('Communication Tracker'!M85),'Communication Tracker'!M85,""),"")</f>
        <v/>
      </c>
      <c r="E85" s="40" t="str">
        <f>IFERROR('Communication Tracker'!L85,"")</f>
        <v/>
      </c>
      <c r="F85" s="40" t="str">
        <f>IFERROR(IF(ISNUMBER('Communication Tracker'!N85),'Communication Tracker'!N85,""),"")</f>
        <v/>
      </c>
      <c r="G85" s="34" t="str">
        <f>IF('Communication Tracker'!O85="","",'Communication Tracker'!O85)</f>
        <v/>
      </c>
      <c r="H85" s="39" t="str">
        <f>IF('Communication Tracker'!B85="","",IF(OR('Communication Tracker'!O85="Positive Reply",'Communication Tracker'!O85="Accepted",'Communication Tracker'!O85="Rejected"),"Case closed - no action needed",IF(ISNUMBER('Communication Tracker'!M85),IF('Communication Tracker'!M85&gt;14,"URGENT - send a follow-up today",IF('Communication Tracker'!M85&gt;=7,"Prepare follow-up - send within "&amp;(14-'Communication Tracker'!M85)&amp;" days","Monitoring - next follow-up in "&amp;(14-'Communication Tracker'!M85)&amp;" days")),"")))</f>
        <v/>
      </c>
    </row>
    <row r="86" spans="1:8" ht="24" customHeight="1" x14ac:dyDescent="0.3">
      <c r="A86" s="61" t="str">
        <f>IF('Communication Tracker'!B86="","",83)</f>
        <v/>
      </c>
      <c r="B86" s="39" t="str">
        <f>IF('Communication Tracker'!B86="","",'Communication Tracker'!B86)</f>
        <v/>
      </c>
      <c r="C86" s="36" t="str">
        <f>IF('Communication Tracker'!C86="","",'Communication Tracker'!C86)</f>
        <v/>
      </c>
      <c r="D86" s="62" t="str">
        <f ca="1">IFERROR(IF(ISNUMBER('Communication Tracker'!M86),'Communication Tracker'!M86,""),"")</f>
        <v/>
      </c>
      <c r="E86" s="40" t="str">
        <f>IFERROR('Communication Tracker'!L86,"")</f>
        <v/>
      </c>
      <c r="F86" s="40" t="str">
        <f>IFERROR(IF(ISNUMBER('Communication Tracker'!N86),'Communication Tracker'!N86,""),"")</f>
        <v/>
      </c>
      <c r="G86" s="34" t="str">
        <f>IF('Communication Tracker'!O86="","",'Communication Tracker'!O86)</f>
        <v/>
      </c>
      <c r="H86" s="39" t="str">
        <f>IF('Communication Tracker'!B86="","",IF(OR('Communication Tracker'!O86="Positive Reply",'Communication Tracker'!O86="Accepted",'Communication Tracker'!O86="Rejected"),"Case closed - no action needed",IF(ISNUMBER('Communication Tracker'!M86),IF('Communication Tracker'!M86&gt;14,"URGENT - send a follow-up today",IF('Communication Tracker'!M86&gt;=7,"Prepare follow-up - send within "&amp;(14-'Communication Tracker'!M86)&amp;" days","Monitoring - next follow-up in "&amp;(14-'Communication Tracker'!M86)&amp;" days")),"")))</f>
        <v/>
      </c>
    </row>
    <row r="87" spans="1:8" ht="24" customHeight="1" x14ac:dyDescent="0.3">
      <c r="A87" s="61" t="str">
        <f>IF('Communication Tracker'!B87="","",84)</f>
        <v/>
      </c>
      <c r="B87" s="39" t="str">
        <f>IF('Communication Tracker'!B87="","",'Communication Tracker'!B87)</f>
        <v/>
      </c>
      <c r="C87" s="36" t="str">
        <f>IF('Communication Tracker'!C87="","",'Communication Tracker'!C87)</f>
        <v/>
      </c>
      <c r="D87" s="62" t="str">
        <f ca="1">IFERROR(IF(ISNUMBER('Communication Tracker'!M87),'Communication Tracker'!M87,""),"")</f>
        <v/>
      </c>
      <c r="E87" s="40" t="str">
        <f>IFERROR('Communication Tracker'!L87,"")</f>
        <v/>
      </c>
      <c r="F87" s="40" t="str">
        <f>IFERROR(IF(ISNUMBER('Communication Tracker'!N87),'Communication Tracker'!N87,""),"")</f>
        <v/>
      </c>
      <c r="G87" s="34" t="str">
        <f>IF('Communication Tracker'!O87="","",'Communication Tracker'!O87)</f>
        <v/>
      </c>
      <c r="H87" s="39" t="str">
        <f>IF('Communication Tracker'!B87="","",IF(OR('Communication Tracker'!O87="Positive Reply",'Communication Tracker'!O87="Accepted",'Communication Tracker'!O87="Rejected"),"Case closed - no action needed",IF(ISNUMBER('Communication Tracker'!M87),IF('Communication Tracker'!M87&gt;14,"URGENT - send a follow-up today",IF('Communication Tracker'!M87&gt;=7,"Prepare follow-up - send within "&amp;(14-'Communication Tracker'!M87)&amp;" days","Monitoring - next follow-up in "&amp;(14-'Communication Tracker'!M87)&amp;" days")),"")))</f>
        <v/>
      </c>
    </row>
    <row r="88" spans="1:8" ht="24" customHeight="1" x14ac:dyDescent="0.3">
      <c r="A88" s="61" t="str">
        <f>IF('Communication Tracker'!B88="","",85)</f>
        <v/>
      </c>
      <c r="B88" s="39" t="str">
        <f>IF('Communication Tracker'!B88="","",'Communication Tracker'!B88)</f>
        <v/>
      </c>
      <c r="C88" s="36" t="str">
        <f>IF('Communication Tracker'!C88="","",'Communication Tracker'!C88)</f>
        <v/>
      </c>
      <c r="D88" s="62" t="str">
        <f ca="1">IFERROR(IF(ISNUMBER('Communication Tracker'!M88),'Communication Tracker'!M88,""),"")</f>
        <v/>
      </c>
      <c r="E88" s="40" t="str">
        <f>IFERROR('Communication Tracker'!L88,"")</f>
        <v/>
      </c>
      <c r="F88" s="40" t="str">
        <f>IFERROR(IF(ISNUMBER('Communication Tracker'!N88),'Communication Tracker'!N88,""),"")</f>
        <v/>
      </c>
      <c r="G88" s="34" t="str">
        <f>IF('Communication Tracker'!O88="","",'Communication Tracker'!O88)</f>
        <v/>
      </c>
      <c r="H88" s="39" t="str">
        <f>IF('Communication Tracker'!B88="","",IF(OR('Communication Tracker'!O88="Positive Reply",'Communication Tracker'!O88="Accepted",'Communication Tracker'!O88="Rejected"),"Case closed - no action needed",IF(ISNUMBER('Communication Tracker'!M88),IF('Communication Tracker'!M88&gt;14,"URGENT - send a follow-up today",IF('Communication Tracker'!M88&gt;=7,"Prepare follow-up - send within "&amp;(14-'Communication Tracker'!M88)&amp;" days","Monitoring - next follow-up in "&amp;(14-'Communication Tracker'!M88)&amp;" days")),"")))</f>
        <v/>
      </c>
    </row>
    <row r="89" spans="1:8" ht="24" customHeight="1" x14ac:dyDescent="0.3">
      <c r="A89" s="61" t="str">
        <f>IF('Communication Tracker'!B89="","",86)</f>
        <v/>
      </c>
      <c r="B89" s="39" t="str">
        <f>IF('Communication Tracker'!B89="","",'Communication Tracker'!B89)</f>
        <v/>
      </c>
      <c r="C89" s="36" t="str">
        <f>IF('Communication Tracker'!C89="","",'Communication Tracker'!C89)</f>
        <v/>
      </c>
      <c r="D89" s="62" t="str">
        <f ca="1">IFERROR(IF(ISNUMBER('Communication Tracker'!M89),'Communication Tracker'!M89,""),"")</f>
        <v/>
      </c>
      <c r="E89" s="40" t="str">
        <f>IFERROR('Communication Tracker'!L89,"")</f>
        <v/>
      </c>
      <c r="F89" s="40" t="str">
        <f>IFERROR(IF(ISNUMBER('Communication Tracker'!N89),'Communication Tracker'!N89,""),"")</f>
        <v/>
      </c>
      <c r="G89" s="34" t="str">
        <f>IF('Communication Tracker'!O89="","",'Communication Tracker'!O89)</f>
        <v/>
      </c>
      <c r="H89" s="39" t="str">
        <f>IF('Communication Tracker'!B89="","",IF(OR('Communication Tracker'!O89="Positive Reply",'Communication Tracker'!O89="Accepted",'Communication Tracker'!O89="Rejected"),"Case closed - no action needed",IF(ISNUMBER('Communication Tracker'!M89),IF('Communication Tracker'!M89&gt;14,"URGENT - send a follow-up today",IF('Communication Tracker'!M89&gt;=7,"Prepare follow-up - send within "&amp;(14-'Communication Tracker'!M89)&amp;" days","Monitoring - next follow-up in "&amp;(14-'Communication Tracker'!M89)&amp;" days")),"")))</f>
        <v/>
      </c>
    </row>
    <row r="90" spans="1:8" ht="24" customHeight="1" x14ac:dyDescent="0.3">
      <c r="A90" s="61" t="str">
        <f>IF('Communication Tracker'!B90="","",87)</f>
        <v/>
      </c>
      <c r="B90" s="39" t="str">
        <f>IF('Communication Tracker'!B90="","",'Communication Tracker'!B90)</f>
        <v/>
      </c>
      <c r="C90" s="36" t="str">
        <f>IF('Communication Tracker'!C90="","",'Communication Tracker'!C90)</f>
        <v/>
      </c>
      <c r="D90" s="62" t="str">
        <f ca="1">IFERROR(IF(ISNUMBER('Communication Tracker'!M90),'Communication Tracker'!M90,""),"")</f>
        <v/>
      </c>
      <c r="E90" s="40" t="str">
        <f>IFERROR('Communication Tracker'!L90,"")</f>
        <v/>
      </c>
      <c r="F90" s="40" t="str">
        <f>IFERROR(IF(ISNUMBER('Communication Tracker'!N90),'Communication Tracker'!N90,""),"")</f>
        <v/>
      </c>
      <c r="G90" s="34" t="str">
        <f>IF('Communication Tracker'!O90="","",'Communication Tracker'!O90)</f>
        <v/>
      </c>
      <c r="H90" s="39" t="str">
        <f>IF('Communication Tracker'!B90="","",IF(OR('Communication Tracker'!O90="Positive Reply",'Communication Tracker'!O90="Accepted",'Communication Tracker'!O90="Rejected"),"Case closed - no action needed",IF(ISNUMBER('Communication Tracker'!M90),IF('Communication Tracker'!M90&gt;14,"URGENT - send a follow-up today",IF('Communication Tracker'!M90&gt;=7,"Prepare follow-up - send within "&amp;(14-'Communication Tracker'!M90)&amp;" days","Monitoring - next follow-up in "&amp;(14-'Communication Tracker'!M90)&amp;" days")),"")))</f>
        <v/>
      </c>
    </row>
    <row r="91" spans="1:8" ht="24" customHeight="1" x14ac:dyDescent="0.3">
      <c r="A91" s="61" t="str">
        <f>IF('Communication Tracker'!B91="","",88)</f>
        <v/>
      </c>
      <c r="B91" s="39" t="str">
        <f>IF('Communication Tracker'!B91="","",'Communication Tracker'!B91)</f>
        <v/>
      </c>
      <c r="C91" s="36" t="str">
        <f>IF('Communication Tracker'!C91="","",'Communication Tracker'!C91)</f>
        <v/>
      </c>
      <c r="D91" s="62" t="str">
        <f ca="1">IFERROR(IF(ISNUMBER('Communication Tracker'!M91),'Communication Tracker'!M91,""),"")</f>
        <v/>
      </c>
      <c r="E91" s="40" t="str">
        <f>IFERROR('Communication Tracker'!L91,"")</f>
        <v/>
      </c>
      <c r="F91" s="40" t="str">
        <f>IFERROR(IF(ISNUMBER('Communication Tracker'!N91),'Communication Tracker'!N91,""),"")</f>
        <v/>
      </c>
      <c r="G91" s="34" t="str">
        <f>IF('Communication Tracker'!O91="","",'Communication Tracker'!O91)</f>
        <v/>
      </c>
      <c r="H91" s="39" t="str">
        <f>IF('Communication Tracker'!B91="","",IF(OR('Communication Tracker'!O91="Positive Reply",'Communication Tracker'!O91="Accepted",'Communication Tracker'!O91="Rejected"),"Case closed - no action needed",IF(ISNUMBER('Communication Tracker'!M91),IF('Communication Tracker'!M91&gt;14,"URGENT - send a follow-up today",IF('Communication Tracker'!M91&gt;=7,"Prepare follow-up - send within "&amp;(14-'Communication Tracker'!M91)&amp;" days","Monitoring - next follow-up in "&amp;(14-'Communication Tracker'!M91)&amp;" days")),"")))</f>
        <v/>
      </c>
    </row>
    <row r="92" spans="1:8" ht="24" customHeight="1" x14ac:dyDescent="0.3">
      <c r="A92" s="61" t="str">
        <f>IF('Communication Tracker'!B92="","",89)</f>
        <v/>
      </c>
      <c r="B92" s="39" t="str">
        <f>IF('Communication Tracker'!B92="","",'Communication Tracker'!B92)</f>
        <v/>
      </c>
      <c r="C92" s="36" t="str">
        <f>IF('Communication Tracker'!C92="","",'Communication Tracker'!C92)</f>
        <v/>
      </c>
      <c r="D92" s="62" t="str">
        <f ca="1">IFERROR(IF(ISNUMBER('Communication Tracker'!M92),'Communication Tracker'!M92,""),"")</f>
        <v/>
      </c>
      <c r="E92" s="40" t="str">
        <f>IFERROR('Communication Tracker'!L92,"")</f>
        <v/>
      </c>
      <c r="F92" s="40" t="str">
        <f>IFERROR(IF(ISNUMBER('Communication Tracker'!N92),'Communication Tracker'!N92,""),"")</f>
        <v/>
      </c>
      <c r="G92" s="34" t="str">
        <f>IF('Communication Tracker'!O92="","",'Communication Tracker'!O92)</f>
        <v/>
      </c>
      <c r="H92" s="39" t="str">
        <f>IF('Communication Tracker'!B92="","",IF(OR('Communication Tracker'!O92="Positive Reply",'Communication Tracker'!O92="Accepted",'Communication Tracker'!O92="Rejected"),"Case closed - no action needed",IF(ISNUMBER('Communication Tracker'!M92),IF('Communication Tracker'!M92&gt;14,"URGENT - send a follow-up today",IF('Communication Tracker'!M92&gt;=7,"Prepare follow-up - send within "&amp;(14-'Communication Tracker'!M92)&amp;" days","Monitoring - next follow-up in "&amp;(14-'Communication Tracker'!M92)&amp;" days")),"")))</f>
        <v/>
      </c>
    </row>
    <row r="93" spans="1:8" ht="24" customHeight="1" x14ac:dyDescent="0.3">
      <c r="A93" s="61" t="str">
        <f>IF('Communication Tracker'!B93="","",90)</f>
        <v/>
      </c>
      <c r="B93" s="39" t="str">
        <f>IF('Communication Tracker'!B93="","",'Communication Tracker'!B93)</f>
        <v/>
      </c>
      <c r="C93" s="36" t="str">
        <f>IF('Communication Tracker'!C93="","",'Communication Tracker'!C93)</f>
        <v/>
      </c>
      <c r="D93" s="62" t="str">
        <f ca="1">IFERROR(IF(ISNUMBER('Communication Tracker'!M93),'Communication Tracker'!M93,""),"")</f>
        <v/>
      </c>
      <c r="E93" s="40" t="str">
        <f>IFERROR('Communication Tracker'!L93,"")</f>
        <v/>
      </c>
      <c r="F93" s="40" t="str">
        <f>IFERROR(IF(ISNUMBER('Communication Tracker'!N93),'Communication Tracker'!N93,""),"")</f>
        <v/>
      </c>
      <c r="G93" s="34" t="str">
        <f>IF('Communication Tracker'!O93="","",'Communication Tracker'!O93)</f>
        <v/>
      </c>
      <c r="H93" s="39" t="str">
        <f>IF('Communication Tracker'!B93="","",IF(OR('Communication Tracker'!O93="Positive Reply",'Communication Tracker'!O93="Accepted",'Communication Tracker'!O93="Rejected"),"Case closed - no action needed",IF(ISNUMBER('Communication Tracker'!M93),IF('Communication Tracker'!M93&gt;14,"URGENT - send a follow-up today",IF('Communication Tracker'!M93&gt;=7,"Prepare follow-up - send within "&amp;(14-'Communication Tracker'!M93)&amp;" days","Monitoring - next follow-up in "&amp;(14-'Communication Tracker'!M93)&amp;" days")),"")))</f>
        <v/>
      </c>
    </row>
    <row r="94" spans="1:8" ht="24" customHeight="1" x14ac:dyDescent="0.3">
      <c r="A94" s="61" t="str">
        <f>IF('Communication Tracker'!B94="","",91)</f>
        <v/>
      </c>
      <c r="B94" s="39" t="str">
        <f>IF('Communication Tracker'!B94="","",'Communication Tracker'!B94)</f>
        <v/>
      </c>
      <c r="C94" s="36" t="str">
        <f>IF('Communication Tracker'!C94="","",'Communication Tracker'!C94)</f>
        <v/>
      </c>
      <c r="D94" s="62" t="str">
        <f ca="1">IFERROR(IF(ISNUMBER('Communication Tracker'!M94),'Communication Tracker'!M94,""),"")</f>
        <v/>
      </c>
      <c r="E94" s="40" t="str">
        <f>IFERROR('Communication Tracker'!L94,"")</f>
        <v/>
      </c>
      <c r="F94" s="40" t="str">
        <f>IFERROR(IF(ISNUMBER('Communication Tracker'!N94),'Communication Tracker'!N94,""),"")</f>
        <v/>
      </c>
      <c r="G94" s="34" t="str">
        <f>IF('Communication Tracker'!O94="","",'Communication Tracker'!O94)</f>
        <v/>
      </c>
      <c r="H94" s="39" t="str">
        <f>IF('Communication Tracker'!B94="","",IF(OR('Communication Tracker'!O94="Positive Reply",'Communication Tracker'!O94="Accepted",'Communication Tracker'!O94="Rejected"),"Case closed - no action needed",IF(ISNUMBER('Communication Tracker'!M94),IF('Communication Tracker'!M94&gt;14,"URGENT - send a follow-up today",IF('Communication Tracker'!M94&gt;=7,"Prepare follow-up - send within "&amp;(14-'Communication Tracker'!M94)&amp;" days","Monitoring - next follow-up in "&amp;(14-'Communication Tracker'!M94)&amp;" days")),"")))</f>
        <v/>
      </c>
    </row>
    <row r="95" spans="1:8" ht="24" customHeight="1" x14ac:dyDescent="0.3">
      <c r="A95" s="61" t="str">
        <f>IF('Communication Tracker'!B95="","",92)</f>
        <v/>
      </c>
      <c r="B95" s="39" t="str">
        <f>IF('Communication Tracker'!B95="","",'Communication Tracker'!B95)</f>
        <v/>
      </c>
      <c r="C95" s="36" t="str">
        <f>IF('Communication Tracker'!C95="","",'Communication Tracker'!C95)</f>
        <v/>
      </c>
      <c r="D95" s="62" t="str">
        <f ca="1">IFERROR(IF(ISNUMBER('Communication Tracker'!M95),'Communication Tracker'!M95,""),"")</f>
        <v/>
      </c>
      <c r="E95" s="40" t="str">
        <f>IFERROR('Communication Tracker'!L95,"")</f>
        <v/>
      </c>
      <c r="F95" s="40" t="str">
        <f>IFERROR(IF(ISNUMBER('Communication Tracker'!N95),'Communication Tracker'!N95,""),"")</f>
        <v/>
      </c>
      <c r="G95" s="34" t="str">
        <f>IF('Communication Tracker'!O95="","",'Communication Tracker'!O95)</f>
        <v/>
      </c>
      <c r="H95" s="39" t="str">
        <f>IF('Communication Tracker'!B95="","",IF(OR('Communication Tracker'!O95="Positive Reply",'Communication Tracker'!O95="Accepted",'Communication Tracker'!O95="Rejected"),"Case closed - no action needed",IF(ISNUMBER('Communication Tracker'!M95),IF('Communication Tracker'!M95&gt;14,"URGENT - send a follow-up today",IF('Communication Tracker'!M95&gt;=7,"Prepare follow-up - send within "&amp;(14-'Communication Tracker'!M95)&amp;" days","Monitoring - next follow-up in "&amp;(14-'Communication Tracker'!M95)&amp;" days")),"")))</f>
        <v/>
      </c>
    </row>
    <row r="96" spans="1:8" ht="24" customHeight="1" x14ac:dyDescent="0.3">
      <c r="A96" s="61" t="str">
        <f>IF('Communication Tracker'!B96="","",93)</f>
        <v/>
      </c>
      <c r="B96" s="39" t="str">
        <f>IF('Communication Tracker'!B96="","",'Communication Tracker'!B96)</f>
        <v/>
      </c>
      <c r="C96" s="36" t="str">
        <f>IF('Communication Tracker'!C96="","",'Communication Tracker'!C96)</f>
        <v/>
      </c>
      <c r="D96" s="62" t="str">
        <f ca="1">IFERROR(IF(ISNUMBER('Communication Tracker'!M96),'Communication Tracker'!M96,""),"")</f>
        <v/>
      </c>
      <c r="E96" s="40" t="str">
        <f>IFERROR('Communication Tracker'!L96,"")</f>
        <v/>
      </c>
      <c r="F96" s="40" t="str">
        <f>IFERROR(IF(ISNUMBER('Communication Tracker'!N96),'Communication Tracker'!N96,""),"")</f>
        <v/>
      </c>
      <c r="G96" s="34" t="str">
        <f>IF('Communication Tracker'!O96="","",'Communication Tracker'!O96)</f>
        <v/>
      </c>
      <c r="H96" s="39" t="str">
        <f>IF('Communication Tracker'!B96="","",IF(OR('Communication Tracker'!O96="Positive Reply",'Communication Tracker'!O96="Accepted",'Communication Tracker'!O96="Rejected"),"Case closed - no action needed",IF(ISNUMBER('Communication Tracker'!M96),IF('Communication Tracker'!M96&gt;14,"URGENT - send a follow-up today",IF('Communication Tracker'!M96&gt;=7,"Prepare follow-up - send within "&amp;(14-'Communication Tracker'!M96)&amp;" days","Monitoring - next follow-up in "&amp;(14-'Communication Tracker'!M96)&amp;" days")),"")))</f>
        <v/>
      </c>
    </row>
    <row r="97" spans="1:8" ht="24" customHeight="1" x14ac:dyDescent="0.3">
      <c r="A97" s="61" t="str">
        <f>IF('Communication Tracker'!B97="","",94)</f>
        <v/>
      </c>
      <c r="B97" s="39" t="str">
        <f>IF('Communication Tracker'!B97="","",'Communication Tracker'!B97)</f>
        <v/>
      </c>
      <c r="C97" s="36" t="str">
        <f>IF('Communication Tracker'!C97="","",'Communication Tracker'!C97)</f>
        <v/>
      </c>
      <c r="D97" s="62" t="str">
        <f ca="1">IFERROR(IF(ISNUMBER('Communication Tracker'!M97),'Communication Tracker'!M97,""),"")</f>
        <v/>
      </c>
      <c r="E97" s="40" t="str">
        <f>IFERROR('Communication Tracker'!L97,"")</f>
        <v/>
      </c>
      <c r="F97" s="40" t="str">
        <f>IFERROR(IF(ISNUMBER('Communication Tracker'!N97),'Communication Tracker'!N97,""),"")</f>
        <v/>
      </c>
      <c r="G97" s="34" t="str">
        <f>IF('Communication Tracker'!O97="","",'Communication Tracker'!O97)</f>
        <v/>
      </c>
      <c r="H97" s="39" t="str">
        <f>IF('Communication Tracker'!B97="","",IF(OR('Communication Tracker'!O97="Positive Reply",'Communication Tracker'!O97="Accepted",'Communication Tracker'!O97="Rejected"),"Case closed - no action needed",IF(ISNUMBER('Communication Tracker'!M97),IF('Communication Tracker'!M97&gt;14,"URGENT - send a follow-up today",IF('Communication Tracker'!M97&gt;=7,"Prepare follow-up - send within "&amp;(14-'Communication Tracker'!M97)&amp;" days","Monitoring - next follow-up in "&amp;(14-'Communication Tracker'!M97)&amp;" days")),"")))</f>
        <v/>
      </c>
    </row>
    <row r="98" spans="1:8" ht="24" customHeight="1" x14ac:dyDescent="0.3">
      <c r="A98" s="61" t="str">
        <f>IF('Communication Tracker'!B98="","",95)</f>
        <v/>
      </c>
      <c r="B98" s="39" t="str">
        <f>IF('Communication Tracker'!B98="","",'Communication Tracker'!B98)</f>
        <v/>
      </c>
      <c r="C98" s="36" t="str">
        <f>IF('Communication Tracker'!C98="","",'Communication Tracker'!C98)</f>
        <v/>
      </c>
      <c r="D98" s="62" t="str">
        <f ca="1">IFERROR(IF(ISNUMBER('Communication Tracker'!M98),'Communication Tracker'!M98,""),"")</f>
        <v/>
      </c>
      <c r="E98" s="40" t="str">
        <f>IFERROR('Communication Tracker'!L98,"")</f>
        <v/>
      </c>
      <c r="F98" s="40" t="str">
        <f>IFERROR(IF(ISNUMBER('Communication Tracker'!N98),'Communication Tracker'!N98,""),"")</f>
        <v/>
      </c>
      <c r="G98" s="34" t="str">
        <f>IF('Communication Tracker'!O98="","",'Communication Tracker'!O98)</f>
        <v/>
      </c>
      <c r="H98" s="39" t="str">
        <f>IF('Communication Tracker'!B98="","",IF(OR('Communication Tracker'!O98="Positive Reply",'Communication Tracker'!O98="Accepted",'Communication Tracker'!O98="Rejected"),"Case closed - no action needed",IF(ISNUMBER('Communication Tracker'!M98),IF('Communication Tracker'!M98&gt;14,"URGENT - send a follow-up today",IF('Communication Tracker'!M98&gt;=7,"Prepare follow-up - send within "&amp;(14-'Communication Tracker'!M98)&amp;" days","Monitoring - next follow-up in "&amp;(14-'Communication Tracker'!M98)&amp;" days")),"")))</f>
        <v/>
      </c>
    </row>
    <row r="99" spans="1:8" ht="24" customHeight="1" x14ac:dyDescent="0.3">
      <c r="A99" s="61" t="str">
        <f>IF('Communication Tracker'!B99="","",96)</f>
        <v/>
      </c>
      <c r="B99" s="39" t="str">
        <f>IF('Communication Tracker'!B99="","",'Communication Tracker'!B99)</f>
        <v/>
      </c>
      <c r="C99" s="36" t="str">
        <f>IF('Communication Tracker'!C99="","",'Communication Tracker'!C99)</f>
        <v/>
      </c>
      <c r="D99" s="62" t="str">
        <f ca="1">IFERROR(IF(ISNUMBER('Communication Tracker'!M99),'Communication Tracker'!M99,""),"")</f>
        <v/>
      </c>
      <c r="E99" s="40" t="str">
        <f>IFERROR('Communication Tracker'!L99,"")</f>
        <v/>
      </c>
      <c r="F99" s="40" t="str">
        <f>IFERROR(IF(ISNUMBER('Communication Tracker'!N99),'Communication Tracker'!N99,""),"")</f>
        <v/>
      </c>
      <c r="G99" s="34" t="str">
        <f>IF('Communication Tracker'!O99="","",'Communication Tracker'!O99)</f>
        <v/>
      </c>
      <c r="H99" s="39" t="str">
        <f>IF('Communication Tracker'!B99="","",IF(OR('Communication Tracker'!O99="Positive Reply",'Communication Tracker'!O99="Accepted",'Communication Tracker'!O99="Rejected"),"Case closed - no action needed",IF(ISNUMBER('Communication Tracker'!M99),IF('Communication Tracker'!M99&gt;14,"URGENT - send a follow-up today",IF('Communication Tracker'!M99&gt;=7,"Prepare follow-up - send within "&amp;(14-'Communication Tracker'!M99)&amp;" days","Monitoring - next follow-up in "&amp;(14-'Communication Tracker'!M99)&amp;" days")),"")))</f>
        <v/>
      </c>
    </row>
    <row r="100" spans="1:8" ht="24" customHeight="1" x14ac:dyDescent="0.3">
      <c r="A100" s="61" t="str">
        <f>IF('Communication Tracker'!B100="","",97)</f>
        <v/>
      </c>
      <c r="B100" s="39" t="str">
        <f>IF('Communication Tracker'!B100="","",'Communication Tracker'!B100)</f>
        <v/>
      </c>
      <c r="C100" s="36" t="str">
        <f>IF('Communication Tracker'!C100="","",'Communication Tracker'!C100)</f>
        <v/>
      </c>
      <c r="D100" s="62" t="str">
        <f ca="1">IFERROR(IF(ISNUMBER('Communication Tracker'!M100),'Communication Tracker'!M100,""),"")</f>
        <v/>
      </c>
      <c r="E100" s="40" t="str">
        <f>IFERROR('Communication Tracker'!L100,"")</f>
        <v/>
      </c>
      <c r="F100" s="40" t="str">
        <f>IFERROR(IF(ISNUMBER('Communication Tracker'!N100),'Communication Tracker'!N100,""),"")</f>
        <v/>
      </c>
      <c r="G100" s="34" t="str">
        <f>IF('Communication Tracker'!O100="","",'Communication Tracker'!O100)</f>
        <v/>
      </c>
      <c r="H100" s="39" t="str">
        <f>IF('Communication Tracker'!B100="","",IF(OR('Communication Tracker'!O100="Positive Reply",'Communication Tracker'!O100="Accepted",'Communication Tracker'!O100="Rejected"),"Case closed - no action needed",IF(ISNUMBER('Communication Tracker'!M100),IF('Communication Tracker'!M100&gt;14,"URGENT - send a follow-up today",IF('Communication Tracker'!M100&gt;=7,"Prepare follow-up - send within "&amp;(14-'Communication Tracker'!M100)&amp;" days","Monitoring - next follow-up in "&amp;(14-'Communication Tracker'!M100)&amp;" days")),"")))</f>
        <v/>
      </c>
    </row>
    <row r="101" spans="1:8" ht="24" customHeight="1" x14ac:dyDescent="0.3">
      <c r="A101" s="61" t="str">
        <f>IF('Communication Tracker'!B101="","",98)</f>
        <v/>
      </c>
      <c r="B101" s="39" t="str">
        <f>IF('Communication Tracker'!B101="","",'Communication Tracker'!B101)</f>
        <v/>
      </c>
      <c r="C101" s="36" t="str">
        <f>IF('Communication Tracker'!C101="","",'Communication Tracker'!C101)</f>
        <v/>
      </c>
      <c r="D101" s="62" t="str">
        <f ca="1">IFERROR(IF(ISNUMBER('Communication Tracker'!M101),'Communication Tracker'!M101,""),"")</f>
        <v/>
      </c>
      <c r="E101" s="40" t="str">
        <f>IFERROR('Communication Tracker'!L101,"")</f>
        <v/>
      </c>
      <c r="F101" s="40" t="str">
        <f>IFERROR(IF(ISNUMBER('Communication Tracker'!N101),'Communication Tracker'!N101,""),"")</f>
        <v/>
      </c>
      <c r="G101" s="34" t="str">
        <f>IF('Communication Tracker'!O101="","",'Communication Tracker'!O101)</f>
        <v/>
      </c>
      <c r="H101" s="39" t="str">
        <f>IF('Communication Tracker'!B101="","",IF(OR('Communication Tracker'!O101="Positive Reply",'Communication Tracker'!O101="Accepted",'Communication Tracker'!O101="Rejected"),"Case closed - no action needed",IF(ISNUMBER('Communication Tracker'!M101),IF('Communication Tracker'!M101&gt;14,"URGENT - send a follow-up today",IF('Communication Tracker'!M101&gt;=7,"Prepare follow-up - send within "&amp;(14-'Communication Tracker'!M101)&amp;" days","Monitoring - next follow-up in "&amp;(14-'Communication Tracker'!M101)&amp;" days")),"")))</f>
        <v/>
      </c>
    </row>
    <row r="102" spans="1:8" ht="24" customHeight="1" x14ac:dyDescent="0.3">
      <c r="A102" s="61" t="str">
        <f>IF('Communication Tracker'!B102="","",99)</f>
        <v/>
      </c>
      <c r="B102" s="39" t="str">
        <f>IF('Communication Tracker'!B102="","",'Communication Tracker'!B102)</f>
        <v/>
      </c>
      <c r="C102" s="36" t="str">
        <f>IF('Communication Tracker'!C102="","",'Communication Tracker'!C102)</f>
        <v/>
      </c>
      <c r="D102" s="62" t="str">
        <f ca="1">IFERROR(IF(ISNUMBER('Communication Tracker'!M102),'Communication Tracker'!M102,""),"")</f>
        <v/>
      </c>
      <c r="E102" s="40" t="str">
        <f>IFERROR('Communication Tracker'!L102,"")</f>
        <v/>
      </c>
      <c r="F102" s="40" t="str">
        <f>IFERROR(IF(ISNUMBER('Communication Tracker'!N102),'Communication Tracker'!N102,""),"")</f>
        <v/>
      </c>
      <c r="G102" s="34" t="str">
        <f>IF('Communication Tracker'!O102="","",'Communication Tracker'!O102)</f>
        <v/>
      </c>
      <c r="H102" s="39" t="str">
        <f>IF('Communication Tracker'!B102="","",IF(OR('Communication Tracker'!O102="Positive Reply",'Communication Tracker'!O102="Accepted",'Communication Tracker'!O102="Rejected"),"Case closed - no action needed",IF(ISNUMBER('Communication Tracker'!M102),IF('Communication Tracker'!M102&gt;14,"URGENT - send a follow-up today",IF('Communication Tracker'!M102&gt;=7,"Prepare follow-up - send within "&amp;(14-'Communication Tracker'!M102)&amp;" days","Monitoring - next follow-up in "&amp;(14-'Communication Tracker'!M102)&amp;" days")),"")))</f>
        <v/>
      </c>
    </row>
    <row r="103" spans="1:8" ht="24" customHeight="1" x14ac:dyDescent="0.3">
      <c r="A103" s="61" t="str">
        <f>IF('Communication Tracker'!B103="","",100)</f>
        <v/>
      </c>
      <c r="B103" s="39" t="str">
        <f>IF('Communication Tracker'!B103="","",'Communication Tracker'!B103)</f>
        <v/>
      </c>
      <c r="C103" s="36" t="str">
        <f>IF('Communication Tracker'!C103="","",'Communication Tracker'!C103)</f>
        <v/>
      </c>
      <c r="D103" s="62" t="str">
        <f ca="1">IFERROR(IF(ISNUMBER('Communication Tracker'!M103),'Communication Tracker'!M103,""),"")</f>
        <v/>
      </c>
      <c r="E103" s="40" t="str">
        <f>IFERROR('Communication Tracker'!L103,"")</f>
        <v/>
      </c>
      <c r="F103" s="40" t="str">
        <f>IFERROR(IF(ISNUMBER('Communication Tracker'!N103),'Communication Tracker'!N103,""),"")</f>
        <v/>
      </c>
      <c r="G103" s="34" t="str">
        <f>IF('Communication Tracker'!O103="","",'Communication Tracker'!O103)</f>
        <v/>
      </c>
      <c r="H103" s="39" t="str">
        <f>IF('Communication Tracker'!B103="","",IF(OR('Communication Tracker'!O103="Positive Reply",'Communication Tracker'!O103="Accepted",'Communication Tracker'!O103="Rejected"),"Case closed - no action needed",IF(ISNUMBER('Communication Tracker'!M103),IF('Communication Tracker'!M103&gt;14,"URGENT - send a follow-up today",IF('Communication Tracker'!M103&gt;=7,"Prepare follow-up - send within "&amp;(14-'Communication Tracker'!M103)&amp;" days","Monitoring - next follow-up in "&amp;(14-'Communication Tracker'!M103)&amp;" days")),"")))</f>
        <v/>
      </c>
    </row>
    <row r="104" spans="1:8" ht="24" customHeight="1" x14ac:dyDescent="0.3">
      <c r="A104" s="61" t="str">
        <f>IF('Communication Tracker'!B104="","",101)</f>
        <v/>
      </c>
      <c r="B104" s="39" t="str">
        <f>IF('Communication Tracker'!B104="","",'Communication Tracker'!B104)</f>
        <v/>
      </c>
      <c r="C104" s="36" t="str">
        <f>IF('Communication Tracker'!C104="","",'Communication Tracker'!C104)</f>
        <v/>
      </c>
      <c r="D104" s="62" t="str">
        <f ca="1">IFERROR(IF(ISNUMBER('Communication Tracker'!M104),'Communication Tracker'!M104,""),"")</f>
        <v/>
      </c>
      <c r="E104" s="40" t="str">
        <f>IFERROR('Communication Tracker'!L104,"")</f>
        <v/>
      </c>
      <c r="F104" s="40" t="str">
        <f>IFERROR(IF(ISNUMBER('Communication Tracker'!N104),'Communication Tracker'!N104,""),"")</f>
        <v/>
      </c>
      <c r="G104" s="34" t="str">
        <f>IF('Communication Tracker'!O104="","",'Communication Tracker'!O104)</f>
        <v/>
      </c>
      <c r="H104" s="39" t="str">
        <f>IF('Communication Tracker'!B104="","",IF(OR('Communication Tracker'!O104="Positive Reply",'Communication Tracker'!O104="Accepted",'Communication Tracker'!O104="Rejected"),"Case closed - no action needed",IF(ISNUMBER('Communication Tracker'!M104),IF('Communication Tracker'!M104&gt;14,"URGENT - send a follow-up today",IF('Communication Tracker'!M104&gt;=7,"Prepare follow-up - send within "&amp;(14-'Communication Tracker'!M104)&amp;" days","Monitoring - next follow-up in "&amp;(14-'Communication Tracker'!M104)&amp;" days")),"")))</f>
        <v/>
      </c>
    </row>
    <row r="105" spans="1:8" ht="24" customHeight="1" x14ac:dyDescent="0.3">
      <c r="A105" s="61" t="str">
        <f>IF('Communication Tracker'!B105="","",102)</f>
        <v/>
      </c>
      <c r="B105" s="39" t="str">
        <f>IF('Communication Tracker'!B105="","",'Communication Tracker'!B105)</f>
        <v/>
      </c>
      <c r="C105" s="36" t="str">
        <f>IF('Communication Tracker'!C105="","",'Communication Tracker'!C105)</f>
        <v/>
      </c>
      <c r="D105" s="62" t="str">
        <f ca="1">IFERROR(IF(ISNUMBER('Communication Tracker'!M105),'Communication Tracker'!M105,""),"")</f>
        <v/>
      </c>
      <c r="E105" s="40" t="str">
        <f>IFERROR('Communication Tracker'!L105,"")</f>
        <v/>
      </c>
      <c r="F105" s="40" t="str">
        <f>IFERROR(IF(ISNUMBER('Communication Tracker'!N105),'Communication Tracker'!N105,""),"")</f>
        <v/>
      </c>
      <c r="G105" s="34" t="str">
        <f>IF('Communication Tracker'!O105="","",'Communication Tracker'!O105)</f>
        <v/>
      </c>
      <c r="H105" s="39" t="str">
        <f>IF('Communication Tracker'!B105="","",IF(OR('Communication Tracker'!O105="Positive Reply",'Communication Tracker'!O105="Accepted",'Communication Tracker'!O105="Rejected"),"Case closed - no action needed",IF(ISNUMBER('Communication Tracker'!M105),IF('Communication Tracker'!M105&gt;14,"URGENT - send a follow-up today",IF('Communication Tracker'!M105&gt;=7,"Prepare follow-up - send within "&amp;(14-'Communication Tracker'!M105)&amp;" days","Monitoring - next follow-up in "&amp;(14-'Communication Tracker'!M105)&amp;" days")),"")))</f>
        <v/>
      </c>
    </row>
    <row r="106" spans="1:8" ht="24" customHeight="1" x14ac:dyDescent="0.3">
      <c r="A106" s="61" t="str">
        <f>IF('Communication Tracker'!B106="","",103)</f>
        <v/>
      </c>
      <c r="B106" s="39" t="str">
        <f>IF('Communication Tracker'!B106="","",'Communication Tracker'!B106)</f>
        <v/>
      </c>
      <c r="C106" s="36" t="str">
        <f>IF('Communication Tracker'!C106="","",'Communication Tracker'!C106)</f>
        <v/>
      </c>
      <c r="D106" s="62" t="str">
        <f ca="1">IFERROR(IF(ISNUMBER('Communication Tracker'!M106),'Communication Tracker'!M106,""),"")</f>
        <v/>
      </c>
      <c r="E106" s="40" t="str">
        <f>IFERROR('Communication Tracker'!L106,"")</f>
        <v/>
      </c>
      <c r="F106" s="40" t="str">
        <f>IFERROR(IF(ISNUMBER('Communication Tracker'!N106),'Communication Tracker'!N106,""),"")</f>
        <v/>
      </c>
      <c r="G106" s="34" t="str">
        <f>IF('Communication Tracker'!O106="","",'Communication Tracker'!O106)</f>
        <v/>
      </c>
      <c r="H106" s="39" t="str">
        <f>IF('Communication Tracker'!B106="","",IF(OR('Communication Tracker'!O106="Positive Reply",'Communication Tracker'!O106="Accepted",'Communication Tracker'!O106="Rejected"),"Case closed - no action needed",IF(ISNUMBER('Communication Tracker'!M106),IF('Communication Tracker'!M106&gt;14,"URGENT - send a follow-up today",IF('Communication Tracker'!M106&gt;=7,"Prepare follow-up - send within "&amp;(14-'Communication Tracker'!M106)&amp;" days","Monitoring - next follow-up in "&amp;(14-'Communication Tracker'!M106)&amp;" days")),"")))</f>
        <v/>
      </c>
    </row>
    <row r="107" spans="1:8" ht="24" customHeight="1" x14ac:dyDescent="0.3">
      <c r="A107" s="61" t="str">
        <f>IF('Communication Tracker'!B107="","",104)</f>
        <v/>
      </c>
      <c r="B107" s="39" t="str">
        <f>IF('Communication Tracker'!B107="","",'Communication Tracker'!B107)</f>
        <v/>
      </c>
      <c r="C107" s="36" t="str">
        <f>IF('Communication Tracker'!C107="","",'Communication Tracker'!C107)</f>
        <v/>
      </c>
      <c r="D107" s="62" t="str">
        <f ca="1">IFERROR(IF(ISNUMBER('Communication Tracker'!M107),'Communication Tracker'!M107,""),"")</f>
        <v/>
      </c>
      <c r="E107" s="40" t="str">
        <f>IFERROR('Communication Tracker'!L107,"")</f>
        <v/>
      </c>
      <c r="F107" s="40" t="str">
        <f>IFERROR(IF(ISNUMBER('Communication Tracker'!N107),'Communication Tracker'!N107,""),"")</f>
        <v/>
      </c>
      <c r="G107" s="34" t="str">
        <f>IF('Communication Tracker'!O107="","",'Communication Tracker'!O107)</f>
        <v/>
      </c>
      <c r="H107" s="39" t="str">
        <f>IF('Communication Tracker'!B107="","",IF(OR('Communication Tracker'!O107="Positive Reply",'Communication Tracker'!O107="Accepted",'Communication Tracker'!O107="Rejected"),"Case closed - no action needed",IF(ISNUMBER('Communication Tracker'!M107),IF('Communication Tracker'!M107&gt;14,"URGENT - send a follow-up today",IF('Communication Tracker'!M107&gt;=7,"Prepare follow-up - send within "&amp;(14-'Communication Tracker'!M107)&amp;" days","Monitoring - next follow-up in "&amp;(14-'Communication Tracker'!M107)&amp;" days")),"")))</f>
        <v/>
      </c>
    </row>
    <row r="108" spans="1:8" ht="24" customHeight="1" x14ac:dyDescent="0.3">
      <c r="A108" s="61" t="str">
        <f>IF('Communication Tracker'!B108="","",105)</f>
        <v/>
      </c>
      <c r="B108" s="39" t="str">
        <f>IF('Communication Tracker'!B108="","",'Communication Tracker'!B108)</f>
        <v/>
      </c>
      <c r="C108" s="36" t="str">
        <f>IF('Communication Tracker'!C108="","",'Communication Tracker'!C108)</f>
        <v/>
      </c>
      <c r="D108" s="62" t="str">
        <f ca="1">IFERROR(IF(ISNUMBER('Communication Tracker'!M108),'Communication Tracker'!M108,""),"")</f>
        <v/>
      </c>
      <c r="E108" s="40" t="str">
        <f>IFERROR('Communication Tracker'!L108,"")</f>
        <v/>
      </c>
      <c r="F108" s="40" t="str">
        <f>IFERROR(IF(ISNUMBER('Communication Tracker'!N108),'Communication Tracker'!N108,""),"")</f>
        <v/>
      </c>
      <c r="G108" s="34" t="str">
        <f>IF('Communication Tracker'!O108="","",'Communication Tracker'!O108)</f>
        <v/>
      </c>
      <c r="H108" s="39" t="str">
        <f>IF('Communication Tracker'!B108="","",IF(OR('Communication Tracker'!O108="Positive Reply",'Communication Tracker'!O108="Accepted",'Communication Tracker'!O108="Rejected"),"Case closed - no action needed",IF(ISNUMBER('Communication Tracker'!M108),IF('Communication Tracker'!M108&gt;14,"URGENT - send a follow-up today",IF('Communication Tracker'!M108&gt;=7,"Prepare follow-up - send within "&amp;(14-'Communication Tracker'!M108)&amp;" days","Monitoring - next follow-up in "&amp;(14-'Communication Tracker'!M108)&amp;" days")),"")))</f>
        <v/>
      </c>
    </row>
    <row r="109" spans="1:8" ht="24" customHeight="1" x14ac:dyDescent="0.3">
      <c r="A109" s="61" t="str">
        <f>IF('Communication Tracker'!B109="","",106)</f>
        <v/>
      </c>
      <c r="B109" s="39" t="str">
        <f>IF('Communication Tracker'!B109="","",'Communication Tracker'!B109)</f>
        <v/>
      </c>
      <c r="C109" s="36" t="str">
        <f>IF('Communication Tracker'!C109="","",'Communication Tracker'!C109)</f>
        <v/>
      </c>
      <c r="D109" s="62" t="str">
        <f ca="1">IFERROR(IF(ISNUMBER('Communication Tracker'!M109),'Communication Tracker'!M109,""),"")</f>
        <v/>
      </c>
      <c r="E109" s="40" t="str">
        <f>IFERROR('Communication Tracker'!L109,"")</f>
        <v/>
      </c>
      <c r="F109" s="40" t="str">
        <f>IFERROR(IF(ISNUMBER('Communication Tracker'!N109),'Communication Tracker'!N109,""),"")</f>
        <v/>
      </c>
      <c r="G109" s="34" t="str">
        <f>IF('Communication Tracker'!O109="","",'Communication Tracker'!O109)</f>
        <v/>
      </c>
      <c r="H109" s="39" t="str">
        <f>IF('Communication Tracker'!B109="","",IF(OR('Communication Tracker'!O109="Positive Reply",'Communication Tracker'!O109="Accepted",'Communication Tracker'!O109="Rejected"),"Case closed - no action needed",IF(ISNUMBER('Communication Tracker'!M109),IF('Communication Tracker'!M109&gt;14,"URGENT - send a follow-up today",IF('Communication Tracker'!M109&gt;=7,"Prepare follow-up - send within "&amp;(14-'Communication Tracker'!M109)&amp;" days","Monitoring - next follow-up in "&amp;(14-'Communication Tracker'!M109)&amp;" days")),"")))</f>
        <v/>
      </c>
    </row>
    <row r="110" spans="1:8" ht="24" customHeight="1" x14ac:dyDescent="0.3">
      <c r="A110" s="61" t="str">
        <f>IF('Communication Tracker'!B110="","",107)</f>
        <v/>
      </c>
      <c r="B110" s="39" t="str">
        <f>IF('Communication Tracker'!B110="","",'Communication Tracker'!B110)</f>
        <v/>
      </c>
      <c r="C110" s="36" t="str">
        <f>IF('Communication Tracker'!C110="","",'Communication Tracker'!C110)</f>
        <v/>
      </c>
      <c r="D110" s="62" t="str">
        <f ca="1">IFERROR(IF(ISNUMBER('Communication Tracker'!M110),'Communication Tracker'!M110,""),"")</f>
        <v/>
      </c>
      <c r="E110" s="40" t="str">
        <f>IFERROR('Communication Tracker'!L110,"")</f>
        <v/>
      </c>
      <c r="F110" s="40" t="str">
        <f>IFERROR(IF(ISNUMBER('Communication Tracker'!N110),'Communication Tracker'!N110,""),"")</f>
        <v/>
      </c>
      <c r="G110" s="34" t="str">
        <f>IF('Communication Tracker'!O110="","",'Communication Tracker'!O110)</f>
        <v/>
      </c>
      <c r="H110" s="39" t="str">
        <f>IF('Communication Tracker'!B110="","",IF(OR('Communication Tracker'!O110="Positive Reply",'Communication Tracker'!O110="Accepted",'Communication Tracker'!O110="Rejected"),"Case closed - no action needed",IF(ISNUMBER('Communication Tracker'!M110),IF('Communication Tracker'!M110&gt;14,"URGENT - send a follow-up today",IF('Communication Tracker'!M110&gt;=7,"Prepare follow-up - send within "&amp;(14-'Communication Tracker'!M110)&amp;" days","Monitoring - next follow-up in "&amp;(14-'Communication Tracker'!M110)&amp;" days")),"")))</f>
        <v/>
      </c>
    </row>
    <row r="111" spans="1:8" ht="24" customHeight="1" x14ac:dyDescent="0.3">
      <c r="A111" s="61" t="str">
        <f>IF('Communication Tracker'!B111="","",108)</f>
        <v/>
      </c>
      <c r="B111" s="39" t="str">
        <f>IF('Communication Tracker'!B111="","",'Communication Tracker'!B111)</f>
        <v/>
      </c>
      <c r="C111" s="36" t="str">
        <f>IF('Communication Tracker'!C111="","",'Communication Tracker'!C111)</f>
        <v/>
      </c>
      <c r="D111" s="62" t="str">
        <f ca="1">IFERROR(IF(ISNUMBER('Communication Tracker'!M111),'Communication Tracker'!M111,""),"")</f>
        <v/>
      </c>
      <c r="E111" s="40" t="str">
        <f>IFERROR('Communication Tracker'!L111,"")</f>
        <v/>
      </c>
      <c r="F111" s="40" t="str">
        <f>IFERROR(IF(ISNUMBER('Communication Tracker'!N111),'Communication Tracker'!N111,""),"")</f>
        <v/>
      </c>
      <c r="G111" s="34" t="str">
        <f>IF('Communication Tracker'!O111="","",'Communication Tracker'!O111)</f>
        <v/>
      </c>
      <c r="H111" s="39" t="str">
        <f>IF('Communication Tracker'!B111="","",IF(OR('Communication Tracker'!O111="Positive Reply",'Communication Tracker'!O111="Accepted",'Communication Tracker'!O111="Rejected"),"Case closed - no action needed",IF(ISNUMBER('Communication Tracker'!M111),IF('Communication Tracker'!M111&gt;14,"URGENT - send a follow-up today",IF('Communication Tracker'!M111&gt;=7,"Prepare follow-up - send within "&amp;(14-'Communication Tracker'!M111)&amp;" days","Monitoring - next follow-up in "&amp;(14-'Communication Tracker'!M111)&amp;" days")),"")))</f>
        <v/>
      </c>
    </row>
    <row r="112" spans="1:8" ht="24" customHeight="1" x14ac:dyDescent="0.3">
      <c r="A112" s="61" t="str">
        <f>IF('Communication Tracker'!B112="","",109)</f>
        <v/>
      </c>
      <c r="B112" s="39" t="str">
        <f>IF('Communication Tracker'!B112="","",'Communication Tracker'!B112)</f>
        <v/>
      </c>
      <c r="C112" s="36" t="str">
        <f>IF('Communication Tracker'!C112="","",'Communication Tracker'!C112)</f>
        <v/>
      </c>
      <c r="D112" s="62" t="str">
        <f ca="1">IFERROR(IF(ISNUMBER('Communication Tracker'!M112),'Communication Tracker'!M112,""),"")</f>
        <v/>
      </c>
      <c r="E112" s="40" t="str">
        <f>IFERROR('Communication Tracker'!L112,"")</f>
        <v/>
      </c>
      <c r="F112" s="40" t="str">
        <f>IFERROR(IF(ISNUMBER('Communication Tracker'!N112),'Communication Tracker'!N112,""),"")</f>
        <v/>
      </c>
      <c r="G112" s="34" t="str">
        <f>IF('Communication Tracker'!O112="","",'Communication Tracker'!O112)</f>
        <v/>
      </c>
      <c r="H112" s="39" t="str">
        <f>IF('Communication Tracker'!B112="","",IF(OR('Communication Tracker'!O112="Positive Reply",'Communication Tracker'!O112="Accepted",'Communication Tracker'!O112="Rejected"),"Case closed - no action needed",IF(ISNUMBER('Communication Tracker'!M112),IF('Communication Tracker'!M112&gt;14,"URGENT - send a follow-up today",IF('Communication Tracker'!M112&gt;=7,"Prepare follow-up - send within "&amp;(14-'Communication Tracker'!M112)&amp;" days","Monitoring - next follow-up in "&amp;(14-'Communication Tracker'!M112)&amp;" days")),"")))</f>
        <v/>
      </c>
    </row>
    <row r="113" spans="1:8" ht="24" customHeight="1" x14ac:dyDescent="0.3">
      <c r="A113" s="61" t="str">
        <f>IF('Communication Tracker'!B113="","",110)</f>
        <v/>
      </c>
      <c r="B113" s="39" t="str">
        <f>IF('Communication Tracker'!B113="","",'Communication Tracker'!B113)</f>
        <v/>
      </c>
      <c r="C113" s="36" t="str">
        <f>IF('Communication Tracker'!C113="","",'Communication Tracker'!C113)</f>
        <v/>
      </c>
      <c r="D113" s="62" t="str">
        <f ca="1">IFERROR(IF(ISNUMBER('Communication Tracker'!M113),'Communication Tracker'!M113,""),"")</f>
        <v/>
      </c>
      <c r="E113" s="40" t="str">
        <f>IFERROR('Communication Tracker'!L113,"")</f>
        <v/>
      </c>
      <c r="F113" s="40" t="str">
        <f>IFERROR(IF(ISNUMBER('Communication Tracker'!N113),'Communication Tracker'!N113,""),"")</f>
        <v/>
      </c>
      <c r="G113" s="34" t="str">
        <f>IF('Communication Tracker'!O113="","",'Communication Tracker'!O113)</f>
        <v/>
      </c>
      <c r="H113" s="39" t="str">
        <f>IF('Communication Tracker'!B113="","",IF(OR('Communication Tracker'!O113="Positive Reply",'Communication Tracker'!O113="Accepted",'Communication Tracker'!O113="Rejected"),"Case closed - no action needed",IF(ISNUMBER('Communication Tracker'!M113),IF('Communication Tracker'!M113&gt;14,"URGENT - send a follow-up today",IF('Communication Tracker'!M113&gt;=7,"Prepare follow-up - send within "&amp;(14-'Communication Tracker'!M113)&amp;" days","Monitoring - next follow-up in "&amp;(14-'Communication Tracker'!M113)&amp;" days")),"")))</f>
        <v/>
      </c>
    </row>
    <row r="114" spans="1:8" ht="24" customHeight="1" x14ac:dyDescent="0.3">
      <c r="A114" s="61" t="str">
        <f>IF('Communication Tracker'!B114="","",111)</f>
        <v/>
      </c>
      <c r="B114" s="39" t="str">
        <f>IF('Communication Tracker'!B114="","",'Communication Tracker'!B114)</f>
        <v/>
      </c>
      <c r="C114" s="36" t="str">
        <f>IF('Communication Tracker'!C114="","",'Communication Tracker'!C114)</f>
        <v/>
      </c>
      <c r="D114" s="62" t="str">
        <f ca="1">IFERROR(IF(ISNUMBER('Communication Tracker'!M114),'Communication Tracker'!M114,""),"")</f>
        <v/>
      </c>
      <c r="E114" s="40" t="str">
        <f>IFERROR('Communication Tracker'!L114,"")</f>
        <v/>
      </c>
      <c r="F114" s="40" t="str">
        <f>IFERROR(IF(ISNUMBER('Communication Tracker'!N114),'Communication Tracker'!N114,""),"")</f>
        <v/>
      </c>
      <c r="G114" s="34" t="str">
        <f>IF('Communication Tracker'!O114="","",'Communication Tracker'!O114)</f>
        <v/>
      </c>
      <c r="H114" s="39" t="str">
        <f>IF('Communication Tracker'!B114="","",IF(OR('Communication Tracker'!O114="Positive Reply",'Communication Tracker'!O114="Accepted",'Communication Tracker'!O114="Rejected"),"Case closed - no action needed",IF(ISNUMBER('Communication Tracker'!M114),IF('Communication Tracker'!M114&gt;14,"URGENT - send a follow-up today",IF('Communication Tracker'!M114&gt;=7,"Prepare follow-up - send within "&amp;(14-'Communication Tracker'!M114)&amp;" days","Monitoring - next follow-up in "&amp;(14-'Communication Tracker'!M114)&amp;" days")),"")))</f>
        <v/>
      </c>
    </row>
    <row r="115" spans="1:8" ht="24" customHeight="1" x14ac:dyDescent="0.3">
      <c r="A115" s="61" t="str">
        <f>IF('Communication Tracker'!B115="","",112)</f>
        <v/>
      </c>
      <c r="B115" s="39" t="str">
        <f>IF('Communication Tracker'!B115="","",'Communication Tracker'!B115)</f>
        <v/>
      </c>
      <c r="C115" s="36" t="str">
        <f>IF('Communication Tracker'!C115="","",'Communication Tracker'!C115)</f>
        <v/>
      </c>
      <c r="D115" s="62" t="str">
        <f ca="1">IFERROR(IF(ISNUMBER('Communication Tracker'!M115),'Communication Tracker'!M115,""),"")</f>
        <v/>
      </c>
      <c r="E115" s="40" t="str">
        <f>IFERROR('Communication Tracker'!L115,"")</f>
        <v/>
      </c>
      <c r="F115" s="40" t="str">
        <f>IFERROR(IF(ISNUMBER('Communication Tracker'!N115),'Communication Tracker'!N115,""),"")</f>
        <v/>
      </c>
      <c r="G115" s="34" t="str">
        <f>IF('Communication Tracker'!O115="","",'Communication Tracker'!O115)</f>
        <v/>
      </c>
      <c r="H115" s="39" t="str">
        <f>IF('Communication Tracker'!B115="","",IF(OR('Communication Tracker'!O115="Positive Reply",'Communication Tracker'!O115="Accepted",'Communication Tracker'!O115="Rejected"),"Case closed - no action needed",IF(ISNUMBER('Communication Tracker'!M115),IF('Communication Tracker'!M115&gt;14,"URGENT - send a follow-up today",IF('Communication Tracker'!M115&gt;=7,"Prepare follow-up - send within "&amp;(14-'Communication Tracker'!M115)&amp;" days","Monitoring - next follow-up in "&amp;(14-'Communication Tracker'!M115)&amp;" days")),"")))</f>
        <v/>
      </c>
    </row>
    <row r="116" spans="1:8" ht="24" customHeight="1" x14ac:dyDescent="0.3">
      <c r="A116" s="61" t="str">
        <f>IF('Communication Tracker'!B116="","",113)</f>
        <v/>
      </c>
      <c r="B116" s="39" t="str">
        <f>IF('Communication Tracker'!B116="","",'Communication Tracker'!B116)</f>
        <v/>
      </c>
      <c r="C116" s="36" t="str">
        <f>IF('Communication Tracker'!C116="","",'Communication Tracker'!C116)</f>
        <v/>
      </c>
      <c r="D116" s="62" t="str">
        <f ca="1">IFERROR(IF(ISNUMBER('Communication Tracker'!M116),'Communication Tracker'!M116,""),"")</f>
        <v/>
      </c>
      <c r="E116" s="40" t="str">
        <f>IFERROR('Communication Tracker'!L116,"")</f>
        <v/>
      </c>
      <c r="F116" s="40" t="str">
        <f>IFERROR(IF(ISNUMBER('Communication Tracker'!N116),'Communication Tracker'!N116,""),"")</f>
        <v/>
      </c>
      <c r="G116" s="34" t="str">
        <f>IF('Communication Tracker'!O116="","",'Communication Tracker'!O116)</f>
        <v/>
      </c>
      <c r="H116" s="39" t="str">
        <f>IF('Communication Tracker'!B116="","",IF(OR('Communication Tracker'!O116="Positive Reply",'Communication Tracker'!O116="Accepted",'Communication Tracker'!O116="Rejected"),"Case closed - no action needed",IF(ISNUMBER('Communication Tracker'!M116),IF('Communication Tracker'!M116&gt;14,"URGENT - send a follow-up today",IF('Communication Tracker'!M116&gt;=7,"Prepare follow-up - send within "&amp;(14-'Communication Tracker'!M116)&amp;" days","Monitoring - next follow-up in "&amp;(14-'Communication Tracker'!M116)&amp;" days")),"")))</f>
        <v/>
      </c>
    </row>
    <row r="117" spans="1:8" ht="24" customHeight="1" x14ac:dyDescent="0.3">
      <c r="A117" s="61" t="str">
        <f>IF('Communication Tracker'!B117="","",114)</f>
        <v/>
      </c>
      <c r="B117" s="39" t="str">
        <f>IF('Communication Tracker'!B117="","",'Communication Tracker'!B117)</f>
        <v/>
      </c>
      <c r="C117" s="36" t="str">
        <f>IF('Communication Tracker'!C117="","",'Communication Tracker'!C117)</f>
        <v/>
      </c>
      <c r="D117" s="62" t="str">
        <f ca="1">IFERROR(IF(ISNUMBER('Communication Tracker'!M117),'Communication Tracker'!M117,""),"")</f>
        <v/>
      </c>
      <c r="E117" s="40" t="str">
        <f>IFERROR('Communication Tracker'!L117,"")</f>
        <v/>
      </c>
      <c r="F117" s="40" t="str">
        <f>IFERROR(IF(ISNUMBER('Communication Tracker'!N117),'Communication Tracker'!N117,""),"")</f>
        <v/>
      </c>
      <c r="G117" s="34" t="str">
        <f>IF('Communication Tracker'!O117="","",'Communication Tracker'!O117)</f>
        <v/>
      </c>
      <c r="H117" s="39" t="str">
        <f>IF('Communication Tracker'!B117="","",IF(OR('Communication Tracker'!O117="Positive Reply",'Communication Tracker'!O117="Accepted",'Communication Tracker'!O117="Rejected"),"Case closed - no action needed",IF(ISNUMBER('Communication Tracker'!M117),IF('Communication Tracker'!M117&gt;14,"URGENT - send a follow-up today",IF('Communication Tracker'!M117&gt;=7,"Prepare follow-up - send within "&amp;(14-'Communication Tracker'!M117)&amp;" days","Monitoring - next follow-up in "&amp;(14-'Communication Tracker'!M117)&amp;" days")),"")))</f>
        <v/>
      </c>
    </row>
    <row r="118" spans="1:8" ht="24" customHeight="1" x14ac:dyDescent="0.3">
      <c r="A118" s="61" t="str">
        <f>IF('Communication Tracker'!B118="","",115)</f>
        <v/>
      </c>
      <c r="B118" s="39" t="str">
        <f>IF('Communication Tracker'!B118="","",'Communication Tracker'!B118)</f>
        <v/>
      </c>
      <c r="C118" s="36" t="str">
        <f>IF('Communication Tracker'!C118="","",'Communication Tracker'!C118)</f>
        <v/>
      </c>
      <c r="D118" s="62" t="str">
        <f ca="1">IFERROR(IF(ISNUMBER('Communication Tracker'!M118),'Communication Tracker'!M118,""),"")</f>
        <v/>
      </c>
      <c r="E118" s="40" t="str">
        <f>IFERROR('Communication Tracker'!L118,"")</f>
        <v/>
      </c>
      <c r="F118" s="40" t="str">
        <f>IFERROR(IF(ISNUMBER('Communication Tracker'!N118),'Communication Tracker'!N118,""),"")</f>
        <v/>
      </c>
      <c r="G118" s="34" t="str">
        <f>IF('Communication Tracker'!O118="","",'Communication Tracker'!O118)</f>
        <v/>
      </c>
      <c r="H118" s="39" t="str">
        <f>IF('Communication Tracker'!B118="","",IF(OR('Communication Tracker'!O118="Positive Reply",'Communication Tracker'!O118="Accepted",'Communication Tracker'!O118="Rejected"),"Case closed - no action needed",IF(ISNUMBER('Communication Tracker'!M118),IF('Communication Tracker'!M118&gt;14,"URGENT - send a follow-up today",IF('Communication Tracker'!M118&gt;=7,"Prepare follow-up - send within "&amp;(14-'Communication Tracker'!M118)&amp;" days","Monitoring - next follow-up in "&amp;(14-'Communication Tracker'!M118)&amp;" days")),"")))</f>
        <v/>
      </c>
    </row>
    <row r="119" spans="1:8" ht="24" customHeight="1" x14ac:dyDescent="0.3">
      <c r="A119" s="61" t="str">
        <f>IF('Communication Tracker'!B119="","",116)</f>
        <v/>
      </c>
      <c r="B119" s="39" t="str">
        <f>IF('Communication Tracker'!B119="","",'Communication Tracker'!B119)</f>
        <v/>
      </c>
      <c r="C119" s="36" t="str">
        <f>IF('Communication Tracker'!C119="","",'Communication Tracker'!C119)</f>
        <v/>
      </c>
      <c r="D119" s="62" t="str">
        <f ca="1">IFERROR(IF(ISNUMBER('Communication Tracker'!M119),'Communication Tracker'!M119,""),"")</f>
        <v/>
      </c>
      <c r="E119" s="40" t="str">
        <f>IFERROR('Communication Tracker'!L119,"")</f>
        <v/>
      </c>
      <c r="F119" s="40" t="str">
        <f>IFERROR(IF(ISNUMBER('Communication Tracker'!N119),'Communication Tracker'!N119,""),"")</f>
        <v/>
      </c>
      <c r="G119" s="34" t="str">
        <f>IF('Communication Tracker'!O119="","",'Communication Tracker'!O119)</f>
        <v/>
      </c>
      <c r="H119" s="39" t="str">
        <f>IF('Communication Tracker'!B119="","",IF(OR('Communication Tracker'!O119="Positive Reply",'Communication Tracker'!O119="Accepted",'Communication Tracker'!O119="Rejected"),"Case closed - no action needed",IF(ISNUMBER('Communication Tracker'!M119),IF('Communication Tracker'!M119&gt;14,"URGENT - send a follow-up today",IF('Communication Tracker'!M119&gt;=7,"Prepare follow-up - send within "&amp;(14-'Communication Tracker'!M119)&amp;" days","Monitoring - next follow-up in "&amp;(14-'Communication Tracker'!M119)&amp;" days")),"")))</f>
        <v/>
      </c>
    </row>
    <row r="120" spans="1:8" ht="24" customHeight="1" x14ac:dyDescent="0.3">
      <c r="A120" s="61" t="str">
        <f>IF('Communication Tracker'!B120="","",117)</f>
        <v/>
      </c>
      <c r="B120" s="39" t="str">
        <f>IF('Communication Tracker'!B120="","",'Communication Tracker'!B120)</f>
        <v/>
      </c>
      <c r="C120" s="36" t="str">
        <f>IF('Communication Tracker'!C120="","",'Communication Tracker'!C120)</f>
        <v/>
      </c>
      <c r="D120" s="62" t="str">
        <f ca="1">IFERROR(IF(ISNUMBER('Communication Tracker'!M120),'Communication Tracker'!M120,""),"")</f>
        <v/>
      </c>
      <c r="E120" s="40" t="str">
        <f>IFERROR('Communication Tracker'!L120,"")</f>
        <v/>
      </c>
      <c r="F120" s="40" t="str">
        <f>IFERROR(IF(ISNUMBER('Communication Tracker'!N120),'Communication Tracker'!N120,""),"")</f>
        <v/>
      </c>
      <c r="G120" s="34" t="str">
        <f>IF('Communication Tracker'!O120="","",'Communication Tracker'!O120)</f>
        <v/>
      </c>
      <c r="H120" s="39" t="str">
        <f>IF('Communication Tracker'!B120="","",IF(OR('Communication Tracker'!O120="Positive Reply",'Communication Tracker'!O120="Accepted",'Communication Tracker'!O120="Rejected"),"Case closed - no action needed",IF(ISNUMBER('Communication Tracker'!M120),IF('Communication Tracker'!M120&gt;14,"URGENT - send a follow-up today",IF('Communication Tracker'!M120&gt;=7,"Prepare follow-up - send within "&amp;(14-'Communication Tracker'!M120)&amp;" days","Monitoring - next follow-up in "&amp;(14-'Communication Tracker'!M120)&amp;" days")),"")))</f>
        <v/>
      </c>
    </row>
    <row r="121" spans="1:8" ht="24" customHeight="1" x14ac:dyDescent="0.3">
      <c r="A121" s="61" t="str">
        <f>IF('Communication Tracker'!B121="","",118)</f>
        <v/>
      </c>
      <c r="B121" s="39" t="str">
        <f>IF('Communication Tracker'!B121="","",'Communication Tracker'!B121)</f>
        <v/>
      </c>
      <c r="C121" s="36" t="str">
        <f>IF('Communication Tracker'!C121="","",'Communication Tracker'!C121)</f>
        <v/>
      </c>
      <c r="D121" s="62" t="str">
        <f ca="1">IFERROR(IF(ISNUMBER('Communication Tracker'!M121),'Communication Tracker'!M121,""),"")</f>
        <v/>
      </c>
      <c r="E121" s="40" t="str">
        <f>IFERROR('Communication Tracker'!L121,"")</f>
        <v/>
      </c>
      <c r="F121" s="40" t="str">
        <f>IFERROR(IF(ISNUMBER('Communication Tracker'!N121),'Communication Tracker'!N121,""),"")</f>
        <v/>
      </c>
      <c r="G121" s="34" t="str">
        <f>IF('Communication Tracker'!O121="","",'Communication Tracker'!O121)</f>
        <v/>
      </c>
      <c r="H121" s="39" t="str">
        <f>IF('Communication Tracker'!B121="","",IF(OR('Communication Tracker'!O121="Positive Reply",'Communication Tracker'!O121="Accepted",'Communication Tracker'!O121="Rejected"),"Case closed - no action needed",IF(ISNUMBER('Communication Tracker'!M121),IF('Communication Tracker'!M121&gt;14,"URGENT - send a follow-up today",IF('Communication Tracker'!M121&gt;=7,"Prepare follow-up - send within "&amp;(14-'Communication Tracker'!M121)&amp;" days","Monitoring - next follow-up in "&amp;(14-'Communication Tracker'!M121)&amp;" days")),"")))</f>
        <v/>
      </c>
    </row>
    <row r="122" spans="1:8" ht="24" customHeight="1" x14ac:dyDescent="0.3">
      <c r="A122" s="61" t="str">
        <f>IF('Communication Tracker'!B122="","",119)</f>
        <v/>
      </c>
      <c r="B122" s="39" t="str">
        <f>IF('Communication Tracker'!B122="","",'Communication Tracker'!B122)</f>
        <v/>
      </c>
      <c r="C122" s="36" t="str">
        <f>IF('Communication Tracker'!C122="","",'Communication Tracker'!C122)</f>
        <v/>
      </c>
      <c r="D122" s="62" t="str">
        <f ca="1">IFERROR(IF(ISNUMBER('Communication Tracker'!M122),'Communication Tracker'!M122,""),"")</f>
        <v/>
      </c>
      <c r="E122" s="40" t="str">
        <f>IFERROR('Communication Tracker'!L122,"")</f>
        <v/>
      </c>
      <c r="F122" s="40" t="str">
        <f>IFERROR(IF(ISNUMBER('Communication Tracker'!N122),'Communication Tracker'!N122,""),"")</f>
        <v/>
      </c>
      <c r="G122" s="34" t="str">
        <f>IF('Communication Tracker'!O122="","",'Communication Tracker'!O122)</f>
        <v/>
      </c>
      <c r="H122" s="39" t="str">
        <f>IF('Communication Tracker'!B122="","",IF(OR('Communication Tracker'!O122="Positive Reply",'Communication Tracker'!O122="Accepted",'Communication Tracker'!O122="Rejected"),"Case closed - no action needed",IF(ISNUMBER('Communication Tracker'!M122),IF('Communication Tracker'!M122&gt;14,"URGENT - send a follow-up today",IF('Communication Tracker'!M122&gt;=7,"Prepare follow-up - send within "&amp;(14-'Communication Tracker'!M122)&amp;" days","Monitoring - next follow-up in "&amp;(14-'Communication Tracker'!M122)&amp;" days")),"")))</f>
        <v/>
      </c>
    </row>
    <row r="123" spans="1:8" ht="24" customHeight="1" x14ac:dyDescent="0.3">
      <c r="A123" s="61" t="str">
        <f>IF('Communication Tracker'!B123="","",120)</f>
        <v/>
      </c>
      <c r="B123" s="39" t="str">
        <f>IF('Communication Tracker'!B123="","",'Communication Tracker'!B123)</f>
        <v/>
      </c>
      <c r="C123" s="36" t="str">
        <f>IF('Communication Tracker'!C123="","",'Communication Tracker'!C123)</f>
        <v/>
      </c>
      <c r="D123" s="62" t="str">
        <f ca="1">IFERROR(IF(ISNUMBER('Communication Tracker'!M123),'Communication Tracker'!M123,""),"")</f>
        <v/>
      </c>
      <c r="E123" s="40" t="str">
        <f>IFERROR('Communication Tracker'!L123,"")</f>
        <v/>
      </c>
      <c r="F123" s="40" t="str">
        <f>IFERROR(IF(ISNUMBER('Communication Tracker'!N123),'Communication Tracker'!N123,""),"")</f>
        <v/>
      </c>
      <c r="G123" s="34" t="str">
        <f>IF('Communication Tracker'!O123="","",'Communication Tracker'!O123)</f>
        <v/>
      </c>
      <c r="H123" s="39" t="str">
        <f>IF('Communication Tracker'!B123="","",IF(OR('Communication Tracker'!O123="Positive Reply",'Communication Tracker'!O123="Accepted",'Communication Tracker'!O123="Rejected"),"Case closed - no action needed",IF(ISNUMBER('Communication Tracker'!M123),IF('Communication Tracker'!M123&gt;14,"URGENT - send a follow-up today",IF('Communication Tracker'!M123&gt;=7,"Prepare follow-up - send within "&amp;(14-'Communication Tracker'!M123)&amp;" days","Monitoring - next follow-up in "&amp;(14-'Communication Tracker'!M123)&amp;" days")),"")))</f>
        <v/>
      </c>
    </row>
    <row r="124" spans="1:8" ht="24" customHeight="1" x14ac:dyDescent="0.3">
      <c r="A124" s="61" t="str">
        <f>IF('Communication Tracker'!B124="","",121)</f>
        <v/>
      </c>
      <c r="B124" s="39" t="str">
        <f>IF('Communication Tracker'!B124="","",'Communication Tracker'!B124)</f>
        <v/>
      </c>
      <c r="C124" s="36" t="str">
        <f>IF('Communication Tracker'!C124="","",'Communication Tracker'!C124)</f>
        <v/>
      </c>
      <c r="D124" s="62" t="str">
        <f ca="1">IFERROR(IF(ISNUMBER('Communication Tracker'!M124),'Communication Tracker'!M124,""),"")</f>
        <v/>
      </c>
      <c r="E124" s="40" t="str">
        <f>IFERROR('Communication Tracker'!L124,"")</f>
        <v/>
      </c>
      <c r="F124" s="40" t="str">
        <f>IFERROR(IF(ISNUMBER('Communication Tracker'!N124),'Communication Tracker'!N124,""),"")</f>
        <v/>
      </c>
      <c r="G124" s="34" t="str">
        <f>IF('Communication Tracker'!O124="","",'Communication Tracker'!O124)</f>
        <v/>
      </c>
      <c r="H124" s="39" t="str">
        <f>IF('Communication Tracker'!B124="","",IF(OR('Communication Tracker'!O124="Positive Reply",'Communication Tracker'!O124="Accepted",'Communication Tracker'!O124="Rejected"),"Case closed - no action needed",IF(ISNUMBER('Communication Tracker'!M124),IF('Communication Tracker'!M124&gt;14,"URGENT - send a follow-up today",IF('Communication Tracker'!M124&gt;=7,"Prepare follow-up - send within "&amp;(14-'Communication Tracker'!M124)&amp;" days","Monitoring - next follow-up in "&amp;(14-'Communication Tracker'!M124)&amp;" days")),"")))</f>
        <v/>
      </c>
    </row>
    <row r="125" spans="1:8" ht="24" customHeight="1" x14ac:dyDescent="0.3">
      <c r="A125" s="61" t="str">
        <f>IF('Communication Tracker'!B125="","",122)</f>
        <v/>
      </c>
      <c r="B125" s="39" t="str">
        <f>IF('Communication Tracker'!B125="","",'Communication Tracker'!B125)</f>
        <v/>
      </c>
      <c r="C125" s="36" t="str">
        <f>IF('Communication Tracker'!C125="","",'Communication Tracker'!C125)</f>
        <v/>
      </c>
      <c r="D125" s="62" t="str">
        <f ca="1">IFERROR(IF(ISNUMBER('Communication Tracker'!M125),'Communication Tracker'!M125,""),"")</f>
        <v/>
      </c>
      <c r="E125" s="40" t="str">
        <f>IFERROR('Communication Tracker'!L125,"")</f>
        <v/>
      </c>
      <c r="F125" s="40" t="str">
        <f>IFERROR(IF(ISNUMBER('Communication Tracker'!N125),'Communication Tracker'!N125,""),"")</f>
        <v/>
      </c>
      <c r="G125" s="34" t="str">
        <f>IF('Communication Tracker'!O125="","",'Communication Tracker'!O125)</f>
        <v/>
      </c>
      <c r="H125" s="39" t="str">
        <f>IF('Communication Tracker'!B125="","",IF(OR('Communication Tracker'!O125="Positive Reply",'Communication Tracker'!O125="Accepted",'Communication Tracker'!O125="Rejected"),"Case closed - no action needed",IF(ISNUMBER('Communication Tracker'!M125),IF('Communication Tracker'!M125&gt;14,"URGENT - send a follow-up today",IF('Communication Tracker'!M125&gt;=7,"Prepare follow-up - send within "&amp;(14-'Communication Tracker'!M125)&amp;" days","Monitoring - next follow-up in "&amp;(14-'Communication Tracker'!M125)&amp;" days")),"")))</f>
        <v/>
      </c>
    </row>
    <row r="126" spans="1:8" ht="24" customHeight="1" x14ac:dyDescent="0.3">
      <c r="A126" s="61" t="str">
        <f>IF('Communication Tracker'!B126="","",123)</f>
        <v/>
      </c>
      <c r="B126" s="39" t="str">
        <f>IF('Communication Tracker'!B126="","",'Communication Tracker'!B126)</f>
        <v/>
      </c>
      <c r="C126" s="36" t="str">
        <f>IF('Communication Tracker'!C126="","",'Communication Tracker'!C126)</f>
        <v/>
      </c>
      <c r="D126" s="62" t="str">
        <f ca="1">IFERROR(IF(ISNUMBER('Communication Tracker'!M126),'Communication Tracker'!M126,""),"")</f>
        <v/>
      </c>
      <c r="E126" s="40" t="str">
        <f>IFERROR('Communication Tracker'!L126,"")</f>
        <v/>
      </c>
      <c r="F126" s="40" t="str">
        <f>IFERROR(IF(ISNUMBER('Communication Tracker'!N126),'Communication Tracker'!N126,""),"")</f>
        <v/>
      </c>
      <c r="G126" s="34" t="str">
        <f>IF('Communication Tracker'!O126="","",'Communication Tracker'!O126)</f>
        <v/>
      </c>
      <c r="H126" s="39" t="str">
        <f>IF('Communication Tracker'!B126="","",IF(OR('Communication Tracker'!O126="Positive Reply",'Communication Tracker'!O126="Accepted",'Communication Tracker'!O126="Rejected"),"Case closed - no action needed",IF(ISNUMBER('Communication Tracker'!M126),IF('Communication Tracker'!M126&gt;14,"URGENT - send a follow-up today",IF('Communication Tracker'!M126&gt;=7,"Prepare follow-up - send within "&amp;(14-'Communication Tracker'!M126)&amp;" days","Monitoring - next follow-up in "&amp;(14-'Communication Tracker'!M126)&amp;" days")),"")))</f>
        <v/>
      </c>
    </row>
    <row r="127" spans="1:8" ht="24" customHeight="1" x14ac:dyDescent="0.3">
      <c r="A127" s="61" t="str">
        <f>IF('Communication Tracker'!B127="","",124)</f>
        <v/>
      </c>
      <c r="B127" s="39" t="str">
        <f>IF('Communication Tracker'!B127="","",'Communication Tracker'!B127)</f>
        <v/>
      </c>
      <c r="C127" s="36" t="str">
        <f>IF('Communication Tracker'!C127="","",'Communication Tracker'!C127)</f>
        <v/>
      </c>
      <c r="D127" s="62" t="str">
        <f ca="1">IFERROR(IF(ISNUMBER('Communication Tracker'!M127),'Communication Tracker'!M127,""),"")</f>
        <v/>
      </c>
      <c r="E127" s="40" t="str">
        <f>IFERROR('Communication Tracker'!L127,"")</f>
        <v/>
      </c>
      <c r="F127" s="40" t="str">
        <f>IFERROR(IF(ISNUMBER('Communication Tracker'!N127),'Communication Tracker'!N127,""),"")</f>
        <v/>
      </c>
      <c r="G127" s="34" t="str">
        <f>IF('Communication Tracker'!O127="","",'Communication Tracker'!O127)</f>
        <v/>
      </c>
      <c r="H127" s="39" t="str">
        <f>IF('Communication Tracker'!B127="","",IF(OR('Communication Tracker'!O127="Positive Reply",'Communication Tracker'!O127="Accepted",'Communication Tracker'!O127="Rejected"),"Case closed - no action needed",IF(ISNUMBER('Communication Tracker'!M127),IF('Communication Tracker'!M127&gt;14,"URGENT - send a follow-up today",IF('Communication Tracker'!M127&gt;=7,"Prepare follow-up - send within "&amp;(14-'Communication Tracker'!M127)&amp;" days","Monitoring - next follow-up in "&amp;(14-'Communication Tracker'!M127)&amp;" days")),"")))</f>
        <v/>
      </c>
    </row>
    <row r="128" spans="1:8" ht="24" customHeight="1" x14ac:dyDescent="0.3">
      <c r="A128" s="61" t="str">
        <f>IF('Communication Tracker'!B128="","",125)</f>
        <v/>
      </c>
      <c r="B128" s="39" t="str">
        <f>IF('Communication Tracker'!B128="","",'Communication Tracker'!B128)</f>
        <v/>
      </c>
      <c r="C128" s="36" t="str">
        <f>IF('Communication Tracker'!C128="","",'Communication Tracker'!C128)</f>
        <v/>
      </c>
      <c r="D128" s="62" t="str">
        <f ca="1">IFERROR(IF(ISNUMBER('Communication Tracker'!M128),'Communication Tracker'!M128,""),"")</f>
        <v/>
      </c>
      <c r="E128" s="40" t="str">
        <f>IFERROR('Communication Tracker'!L128,"")</f>
        <v/>
      </c>
      <c r="F128" s="40" t="str">
        <f>IFERROR(IF(ISNUMBER('Communication Tracker'!N128),'Communication Tracker'!N128,""),"")</f>
        <v/>
      </c>
      <c r="G128" s="34" t="str">
        <f>IF('Communication Tracker'!O128="","",'Communication Tracker'!O128)</f>
        <v/>
      </c>
      <c r="H128" s="39" t="str">
        <f>IF('Communication Tracker'!B128="","",IF(OR('Communication Tracker'!O128="Positive Reply",'Communication Tracker'!O128="Accepted",'Communication Tracker'!O128="Rejected"),"Case closed - no action needed",IF(ISNUMBER('Communication Tracker'!M128),IF('Communication Tracker'!M128&gt;14,"URGENT - send a follow-up today",IF('Communication Tracker'!M128&gt;=7,"Prepare follow-up - send within "&amp;(14-'Communication Tracker'!M128)&amp;" days","Monitoring - next follow-up in "&amp;(14-'Communication Tracker'!M128)&amp;" days")),"")))</f>
        <v/>
      </c>
    </row>
    <row r="129" spans="1:8" ht="24" customHeight="1" x14ac:dyDescent="0.3">
      <c r="A129" s="61" t="str">
        <f>IF('Communication Tracker'!B129="","",126)</f>
        <v/>
      </c>
      <c r="B129" s="39" t="str">
        <f>IF('Communication Tracker'!B129="","",'Communication Tracker'!B129)</f>
        <v/>
      </c>
      <c r="C129" s="36" t="str">
        <f>IF('Communication Tracker'!C129="","",'Communication Tracker'!C129)</f>
        <v/>
      </c>
      <c r="D129" s="62" t="str">
        <f ca="1">IFERROR(IF(ISNUMBER('Communication Tracker'!M129),'Communication Tracker'!M129,""),"")</f>
        <v/>
      </c>
      <c r="E129" s="40" t="str">
        <f>IFERROR('Communication Tracker'!L129,"")</f>
        <v/>
      </c>
      <c r="F129" s="40" t="str">
        <f>IFERROR(IF(ISNUMBER('Communication Tracker'!N129),'Communication Tracker'!N129,""),"")</f>
        <v/>
      </c>
      <c r="G129" s="34" t="str">
        <f>IF('Communication Tracker'!O129="","",'Communication Tracker'!O129)</f>
        <v/>
      </c>
      <c r="H129" s="39" t="str">
        <f>IF('Communication Tracker'!B129="","",IF(OR('Communication Tracker'!O129="Positive Reply",'Communication Tracker'!O129="Accepted",'Communication Tracker'!O129="Rejected"),"Case closed - no action needed",IF(ISNUMBER('Communication Tracker'!M129),IF('Communication Tracker'!M129&gt;14,"URGENT - send a follow-up today",IF('Communication Tracker'!M129&gt;=7,"Prepare follow-up - send within "&amp;(14-'Communication Tracker'!M129)&amp;" days","Monitoring - next follow-up in "&amp;(14-'Communication Tracker'!M129)&amp;" days")),"")))</f>
        <v/>
      </c>
    </row>
    <row r="130" spans="1:8" ht="24" customHeight="1" x14ac:dyDescent="0.3">
      <c r="A130" s="61" t="str">
        <f>IF('Communication Tracker'!B130="","",127)</f>
        <v/>
      </c>
      <c r="B130" s="39" t="str">
        <f>IF('Communication Tracker'!B130="","",'Communication Tracker'!B130)</f>
        <v/>
      </c>
      <c r="C130" s="36" t="str">
        <f>IF('Communication Tracker'!C130="","",'Communication Tracker'!C130)</f>
        <v/>
      </c>
      <c r="D130" s="62" t="str">
        <f ca="1">IFERROR(IF(ISNUMBER('Communication Tracker'!M130),'Communication Tracker'!M130,""),"")</f>
        <v/>
      </c>
      <c r="E130" s="40" t="str">
        <f>IFERROR('Communication Tracker'!L130,"")</f>
        <v/>
      </c>
      <c r="F130" s="40" t="str">
        <f>IFERROR(IF(ISNUMBER('Communication Tracker'!N130),'Communication Tracker'!N130,""),"")</f>
        <v/>
      </c>
      <c r="G130" s="34" t="str">
        <f>IF('Communication Tracker'!O130="","",'Communication Tracker'!O130)</f>
        <v/>
      </c>
      <c r="H130" s="39" t="str">
        <f>IF('Communication Tracker'!B130="","",IF(OR('Communication Tracker'!O130="Positive Reply",'Communication Tracker'!O130="Accepted",'Communication Tracker'!O130="Rejected"),"Case closed - no action needed",IF(ISNUMBER('Communication Tracker'!M130),IF('Communication Tracker'!M130&gt;14,"URGENT - send a follow-up today",IF('Communication Tracker'!M130&gt;=7,"Prepare follow-up - send within "&amp;(14-'Communication Tracker'!M130)&amp;" days","Monitoring - next follow-up in "&amp;(14-'Communication Tracker'!M130)&amp;" days")),"")))</f>
        <v/>
      </c>
    </row>
    <row r="131" spans="1:8" ht="24" customHeight="1" x14ac:dyDescent="0.3">
      <c r="A131" s="61" t="str">
        <f>IF('Communication Tracker'!B131="","",128)</f>
        <v/>
      </c>
      <c r="B131" s="39" t="str">
        <f>IF('Communication Tracker'!B131="","",'Communication Tracker'!B131)</f>
        <v/>
      </c>
      <c r="C131" s="36" t="str">
        <f>IF('Communication Tracker'!C131="","",'Communication Tracker'!C131)</f>
        <v/>
      </c>
      <c r="D131" s="62" t="str">
        <f ca="1">IFERROR(IF(ISNUMBER('Communication Tracker'!M131),'Communication Tracker'!M131,""),"")</f>
        <v/>
      </c>
      <c r="E131" s="40" t="str">
        <f>IFERROR('Communication Tracker'!L131,"")</f>
        <v/>
      </c>
      <c r="F131" s="40" t="str">
        <f>IFERROR(IF(ISNUMBER('Communication Tracker'!N131),'Communication Tracker'!N131,""),"")</f>
        <v/>
      </c>
      <c r="G131" s="34" t="str">
        <f>IF('Communication Tracker'!O131="","",'Communication Tracker'!O131)</f>
        <v/>
      </c>
      <c r="H131" s="39" t="str">
        <f>IF('Communication Tracker'!B131="","",IF(OR('Communication Tracker'!O131="Positive Reply",'Communication Tracker'!O131="Accepted",'Communication Tracker'!O131="Rejected"),"Case closed - no action needed",IF(ISNUMBER('Communication Tracker'!M131),IF('Communication Tracker'!M131&gt;14,"URGENT - send a follow-up today",IF('Communication Tracker'!M131&gt;=7,"Prepare follow-up - send within "&amp;(14-'Communication Tracker'!M131)&amp;" days","Monitoring - next follow-up in "&amp;(14-'Communication Tracker'!M131)&amp;" days")),"")))</f>
        <v/>
      </c>
    </row>
    <row r="132" spans="1:8" ht="24" customHeight="1" x14ac:dyDescent="0.3">
      <c r="A132" s="61" t="str">
        <f>IF('Communication Tracker'!B132="","",129)</f>
        <v/>
      </c>
      <c r="B132" s="39" t="str">
        <f>IF('Communication Tracker'!B132="","",'Communication Tracker'!B132)</f>
        <v/>
      </c>
      <c r="C132" s="36" t="str">
        <f>IF('Communication Tracker'!C132="","",'Communication Tracker'!C132)</f>
        <v/>
      </c>
      <c r="D132" s="62" t="str">
        <f ca="1">IFERROR(IF(ISNUMBER('Communication Tracker'!M132),'Communication Tracker'!M132,""),"")</f>
        <v/>
      </c>
      <c r="E132" s="40" t="str">
        <f>IFERROR('Communication Tracker'!L132,"")</f>
        <v/>
      </c>
      <c r="F132" s="40" t="str">
        <f>IFERROR(IF(ISNUMBER('Communication Tracker'!N132),'Communication Tracker'!N132,""),"")</f>
        <v/>
      </c>
      <c r="G132" s="34" t="str">
        <f>IF('Communication Tracker'!O132="","",'Communication Tracker'!O132)</f>
        <v/>
      </c>
      <c r="H132" s="39" t="str">
        <f>IF('Communication Tracker'!B132="","",IF(OR('Communication Tracker'!O132="Positive Reply",'Communication Tracker'!O132="Accepted",'Communication Tracker'!O132="Rejected"),"Case closed - no action needed",IF(ISNUMBER('Communication Tracker'!M132),IF('Communication Tracker'!M132&gt;14,"URGENT - send a follow-up today",IF('Communication Tracker'!M132&gt;=7,"Prepare follow-up - send within "&amp;(14-'Communication Tracker'!M132)&amp;" days","Monitoring - next follow-up in "&amp;(14-'Communication Tracker'!M132)&amp;" days")),"")))</f>
        <v/>
      </c>
    </row>
    <row r="133" spans="1:8" ht="24" customHeight="1" x14ac:dyDescent="0.3">
      <c r="A133" s="61" t="str">
        <f>IF('Communication Tracker'!B133="","",130)</f>
        <v/>
      </c>
      <c r="B133" s="39" t="str">
        <f>IF('Communication Tracker'!B133="","",'Communication Tracker'!B133)</f>
        <v/>
      </c>
      <c r="C133" s="36" t="str">
        <f>IF('Communication Tracker'!C133="","",'Communication Tracker'!C133)</f>
        <v/>
      </c>
      <c r="D133" s="62" t="str">
        <f ca="1">IFERROR(IF(ISNUMBER('Communication Tracker'!M133),'Communication Tracker'!M133,""),"")</f>
        <v/>
      </c>
      <c r="E133" s="40" t="str">
        <f>IFERROR('Communication Tracker'!L133,"")</f>
        <v/>
      </c>
      <c r="F133" s="40" t="str">
        <f>IFERROR(IF(ISNUMBER('Communication Tracker'!N133),'Communication Tracker'!N133,""),"")</f>
        <v/>
      </c>
      <c r="G133" s="34" t="str">
        <f>IF('Communication Tracker'!O133="","",'Communication Tracker'!O133)</f>
        <v/>
      </c>
      <c r="H133" s="39" t="str">
        <f>IF('Communication Tracker'!B133="","",IF(OR('Communication Tracker'!O133="Positive Reply",'Communication Tracker'!O133="Accepted",'Communication Tracker'!O133="Rejected"),"Case closed - no action needed",IF(ISNUMBER('Communication Tracker'!M133),IF('Communication Tracker'!M133&gt;14,"URGENT - send a follow-up today",IF('Communication Tracker'!M133&gt;=7,"Prepare follow-up - send within "&amp;(14-'Communication Tracker'!M133)&amp;" days","Monitoring - next follow-up in "&amp;(14-'Communication Tracker'!M133)&amp;" days")),"")))</f>
        <v/>
      </c>
    </row>
    <row r="134" spans="1:8" ht="24" customHeight="1" x14ac:dyDescent="0.3">
      <c r="A134" s="61" t="str">
        <f>IF('Communication Tracker'!B134="","",131)</f>
        <v/>
      </c>
      <c r="B134" s="39" t="str">
        <f>IF('Communication Tracker'!B134="","",'Communication Tracker'!B134)</f>
        <v/>
      </c>
      <c r="C134" s="36" t="str">
        <f>IF('Communication Tracker'!C134="","",'Communication Tracker'!C134)</f>
        <v/>
      </c>
      <c r="D134" s="62" t="str">
        <f ca="1">IFERROR(IF(ISNUMBER('Communication Tracker'!M134),'Communication Tracker'!M134,""),"")</f>
        <v/>
      </c>
      <c r="E134" s="40" t="str">
        <f>IFERROR('Communication Tracker'!L134,"")</f>
        <v/>
      </c>
      <c r="F134" s="40" t="str">
        <f>IFERROR(IF(ISNUMBER('Communication Tracker'!N134),'Communication Tracker'!N134,""),"")</f>
        <v/>
      </c>
      <c r="G134" s="34" t="str">
        <f>IF('Communication Tracker'!O134="","",'Communication Tracker'!O134)</f>
        <v/>
      </c>
      <c r="H134" s="39" t="str">
        <f>IF('Communication Tracker'!B134="","",IF(OR('Communication Tracker'!O134="Positive Reply",'Communication Tracker'!O134="Accepted",'Communication Tracker'!O134="Rejected"),"Case closed - no action needed",IF(ISNUMBER('Communication Tracker'!M134),IF('Communication Tracker'!M134&gt;14,"URGENT - send a follow-up today",IF('Communication Tracker'!M134&gt;=7,"Prepare follow-up - send within "&amp;(14-'Communication Tracker'!M134)&amp;" days","Monitoring - next follow-up in "&amp;(14-'Communication Tracker'!M134)&amp;" days")),"")))</f>
        <v/>
      </c>
    </row>
    <row r="135" spans="1:8" ht="24" customHeight="1" x14ac:dyDescent="0.3">
      <c r="A135" s="61" t="str">
        <f>IF('Communication Tracker'!B135="","",132)</f>
        <v/>
      </c>
      <c r="B135" s="39" t="str">
        <f>IF('Communication Tracker'!B135="","",'Communication Tracker'!B135)</f>
        <v/>
      </c>
      <c r="C135" s="36" t="str">
        <f>IF('Communication Tracker'!C135="","",'Communication Tracker'!C135)</f>
        <v/>
      </c>
      <c r="D135" s="62" t="str">
        <f ca="1">IFERROR(IF(ISNUMBER('Communication Tracker'!M135),'Communication Tracker'!M135,""),"")</f>
        <v/>
      </c>
      <c r="E135" s="40" t="str">
        <f>IFERROR('Communication Tracker'!L135,"")</f>
        <v/>
      </c>
      <c r="F135" s="40" t="str">
        <f>IFERROR(IF(ISNUMBER('Communication Tracker'!N135),'Communication Tracker'!N135,""),"")</f>
        <v/>
      </c>
      <c r="G135" s="34" t="str">
        <f>IF('Communication Tracker'!O135="","",'Communication Tracker'!O135)</f>
        <v/>
      </c>
      <c r="H135" s="39" t="str">
        <f>IF('Communication Tracker'!B135="","",IF(OR('Communication Tracker'!O135="Positive Reply",'Communication Tracker'!O135="Accepted",'Communication Tracker'!O135="Rejected"),"Case closed - no action needed",IF(ISNUMBER('Communication Tracker'!M135),IF('Communication Tracker'!M135&gt;14,"URGENT - send a follow-up today",IF('Communication Tracker'!M135&gt;=7,"Prepare follow-up - send within "&amp;(14-'Communication Tracker'!M135)&amp;" days","Monitoring - next follow-up in "&amp;(14-'Communication Tracker'!M135)&amp;" days")),"")))</f>
        <v/>
      </c>
    </row>
    <row r="136" spans="1:8" ht="24" customHeight="1" x14ac:dyDescent="0.3">
      <c r="A136" s="61" t="str">
        <f>IF('Communication Tracker'!B136="","",133)</f>
        <v/>
      </c>
      <c r="B136" s="39" t="str">
        <f>IF('Communication Tracker'!B136="","",'Communication Tracker'!B136)</f>
        <v/>
      </c>
      <c r="C136" s="36" t="str">
        <f>IF('Communication Tracker'!C136="","",'Communication Tracker'!C136)</f>
        <v/>
      </c>
      <c r="D136" s="62" t="str">
        <f ca="1">IFERROR(IF(ISNUMBER('Communication Tracker'!M136),'Communication Tracker'!M136,""),"")</f>
        <v/>
      </c>
      <c r="E136" s="40" t="str">
        <f>IFERROR('Communication Tracker'!L136,"")</f>
        <v/>
      </c>
      <c r="F136" s="40" t="str">
        <f>IFERROR(IF(ISNUMBER('Communication Tracker'!N136),'Communication Tracker'!N136,""),"")</f>
        <v/>
      </c>
      <c r="G136" s="34" t="str">
        <f>IF('Communication Tracker'!O136="","",'Communication Tracker'!O136)</f>
        <v/>
      </c>
      <c r="H136" s="39" t="str">
        <f>IF('Communication Tracker'!B136="","",IF(OR('Communication Tracker'!O136="Positive Reply",'Communication Tracker'!O136="Accepted",'Communication Tracker'!O136="Rejected"),"Case closed - no action needed",IF(ISNUMBER('Communication Tracker'!M136),IF('Communication Tracker'!M136&gt;14,"URGENT - send a follow-up today",IF('Communication Tracker'!M136&gt;=7,"Prepare follow-up - send within "&amp;(14-'Communication Tracker'!M136)&amp;" days","Monitoring - next follow-up in "&amp;(14-'Communication Tracker'!M136)&amp;" days")),"")))</f>
        <v/>
      </c>
    </row>
    <row r="137" spans="1:8" ht="24" customHeight="1" x14ac:dyDescent="0.3">
      <c r="A137" s="61" t="str">
        <f>IF('Communication Tracker'!B137="","",134)</f>
        <v/>
      </c>
      <c r="B137" s="39" t="str">
        <f>IF('Communication Tracker'!B137="","",'Communication Tracker'!B137)</f>
        <v/>
      </c>
      <c r="C137" s="36" t="str">
        <f>IF('Communication Tracker'!C137="","",'Communication Tracker'!C137)</f>
        <v/>
      </c>
      <c r="D137" s="62" t="str">
        <f ca="1">IFERROR(IF(ISNUMBER('Communication Tracker'!M137),'Communication Tracker'!M137,""),"")</f>
        <v/>
      </c>
      <c r="E137" s="40" t="str">
        <f>IFERROR('Communication Tracker'!L137,"")</f>
        <v/>
      </c>
      <c r="F137" s="40" t="str">
        <f>IFERROR(IF(ISNUMBER('Communication Tracker'!N137),'Communication Tracker'!N137,""),"")</f>
        <v/>
      </c>
      <c r="G137" s="34" t="str">
        <f>IF('Communication Tracker'!O137="","",'Communication Tracker'!O137)</f>
        <v/>
      </c>
      <c r="H137" s="39" t="str">
        <f>IF('Communication Tracker'!B137="","",IF(OR('Communication Tracker'!O137="Positive Reply",'Communication Tracker'!O137="Accepted",'Communication Tracker'!O137="Rejected"),"Case closed - no action needed",IF(ISNUMBER('Communication Tracker'!M137),IF('Communication Tracker'!M137&gt;14,"URGENT - send a follow-up today",IF('Communication Tracker'!M137&gt;=7,"Prepare follow-up - send within "&amp;(14-'Communication Tracker'!M137)&amp;" days","Monitoring - next follow-up in "&amp;(14-'Communication Tracker'!M137)&amp;" days")),"")))</f>
        <v/>
      </c>
    </row>
    <row r="138" spans="1:8" ht="24" customHeight="1" x14ac:dyDescent="0.3">
      <c r="A138" s="61" t="str">
        <f>IF('Communication Tracker'!B138="","",135)</f>
        <v/>
      </c>
      <c r="B138" s="39" t="str">
        <f>IF('Communication Tracker'!B138="","",'Communication Tracker'!B138)</f>
        <v/>
      </c>
      <c r="C138" s="36" t="str">
        <f>IF('Communication Tracker'!C138="","",'Communication Tracker'!C138)</f>
        <v/>
      </c>
      <c r="D138" s="62" t="str">
        <f ca="1">IFERROR(IF(ISNUMBER('Communication Tracker'!M138),'Communication Tracker'!M138,""),"")</f>
        <v/>
      </c>
      <c r="E138" s="40" t="str">
        <f>IFERROR('Communication Tracker'!L138,"")</f>
        <v/>
      </c>
      <c r="F138" s="40" t="str">
        <f>IFERROR(IF(ISNUMBER('Communication Tracker'!N138),'Communication Tracker'!N138,""),"")</f>
        <v/>
      </c>
      <c r="G138" s="34" t="str">
        <f>IF('Communication Tracker'!O138="","",'Communication Tracker'!O138)</f>
        <v/>
      </c>
      <c r="H138" s="39" t="str">
        <f>IF('Communication Tracker'!B138="","",IF(OR('Communication Tracker'!O138="Positive Reply",'Communication Tracker'!O138="Accepted",'Communication Tracker'!O138="Rejected"),"Case closed - no action needed",IF(ISNUMBER('Communication Tracker'!M138),IF('Communication Tracker'!M138&gt;14,"URGENT - send a follow-up today",IF('Communication Tracker'!M138&gt;=7,"Prepare follow-up - send within "&amp;(14-'Communication Tracker'!M138)&amp;" days","Monitoring - next follow-up in "&amp;(14-'Communication Tracker'!M138)&amp;" days")),"")))</f>
        <v/>
      </c>
    </row>
    <row r="139" spans="1:8" ht="24" customHeight="1" x14ac:dyDescent="0.3">
      <c r="A139" s="61" t="str">
        <f>IF('Communication Tracker'!B139="","",136)</f>
        <v/>
      </c>
      <c r="B139" s="39" t="str">
        <f>IF('Communication Tracker'!B139="","",'Communication Tracker'!B139)</f>
        <v/>
      </c>
      <c r="C139" s="36" t="str">
        <f>IF('Communication Tracker'!C139="","",'Communication Tracker'!C139)</f>
        <v/>
      </c>
      <c r="D139" s="62" t="str">
        <f ca="1">IFERROR(IF(ISNUMBER('Communication Tracker'!M139),'Communication Tracker'!M139,""),"")</f>
        <v/>
      </c>
      <c r="E139" s="40" t="str">
        <f>IFERROR('Communication Tracker'!L139,"")</f>
        <v/>
      </c>
      <c r="F139" s="40" t="str">
        <f>IFERROR(IF(ISNUMBER('Communication Tracker'!N139),'Communication Tracker'!N139,""),"")</f>
        <v/>
      </c>
      <c r="G139" s="34" t="str">
        <f>IF('Communication Tracker'!O139="","",'Communication Tracker'!O139)</f>
        <v/>
      </c>
      <c r="H139" s="39" t="str">
        <f>IF('Communication Tracker'!B139="","",IF(OR('Communication Tracker'!O139="Positive Reply",'Communication Tracker'!O139="Accepted",'Communication Tracker'!O139="Rejected"),"Case closed - no action needed",IF(ISNUMBER('Communication Tracker'!M139),IF('Communication Tracker'!M139&gt;14,"URGENT - send a follow-up today",IF('Communication Tracker'!M139&gt;=7,"Prepare follow-up - send within "&amp;(14-'Communication Tracker'!M139)&amp;" days","Monitoring - next follow-up in "&amp;(14-'Communication Tracker'!M139)&amp;" days")),"")))</f>
        <v/>
      </c>
    </row>
    <row r="140" spans="1:8" ht="24" customHeight="1" x14ac:dyDescent="0.3">
      <c r="A140" s="61" t="str">
        <f>IF('Communication Tracker'!B140="","",137)</f>
        <v/>
      </c>
      <c r="B140" s="39" t="str">
        <f>IF('Communication Tracker'!B140="","",'Communication Tracker'!B140)</f>
        <v/>
      </c>
      <c r="C140" s="36" t="str">
        <f>IF('Communication Tracker'!C140="","",'Communication Tracker'!C140)</f>
        <v/>
      </c>
      <c r="D140" s="62" t="str">
        <f ca="1">IFERROR(IF(ISNUMBER('Communication Tracker'!M140),'Communication Tracker'!M140,""),"")</f>
        <v/>
      </c>
      <c r="E140" s="40" t="str">
        <f>IFERROR('Communication Tracker'!L140,"")</f>
        <v/>
      </c>
      <c r="F140" s="40" t="str">
        <f>IFERROR(IF(ISNUMBER('Communication Tracker'!N140),'Communication Tracker'!N140,""),"")</f>
        <v/>
      </c>
      <c r="G140" s="34" t="str">
        <f>IF('Communication Tracker'!O140="","",'Communication Tracker'!O140)</f>
        <v/>
      </c>
      <c r="H140" s="39" t="str">
        <f>IF('Communication Tracker'!B140="","",IF(OR('Communication Tracker'!O140="Positive Reply",'Communication Tracker'!O140="Accepted",'Communication Tracker'!O140="Rejected"),"Case closed - no action needed",IF(ISNUMBER('Communication Tracker'!M140),IF('Communication Tracker'!M140&gt;14,"URGENT - send a follow-up today",IF('Communication Tracker'!M140&gt;=7,"Prepare follow-up - send within "&amp;(14-'Communication Tracker'!M140)&amp;" days","Monitoring - next follow-up in "&amp;(14-'Communication Tracker'!M140)&amp;" days")),"")))</f>
        <v/>
      </c>
    </row>
    <row r="141" spans="1:8" ht="24" customHeight="1" x14ac:dyDescent="0.3">
      <c r="A141" s="61" t="str">
        <f>IF('Communication Tracker'!B141="","",138)</f>
        <v/>
      </c>
      <c r="B141" s="39" t="str">
        <f>IF('Communication Tracker'!B141="","",'Communication Tracker'!B141)</f>
        <v/>
      </c>
      <c r="C141" s="36" t="str">
        <f>IF('Communication Tracker'!C141="","",'Communication Tracker'!C141)</f>
        <v/>
      </c>
      <c r="D141" s="62" t="str">
        <f ca="1">IFERROR(IF(ISNUMBER('Communication Tracker'!M141),'Communication Tracker'!M141,""),"")</f>
        <v/>
      </c>
      <c r="E141" s="40" t="str">
        <f>IFERROR('Communication Tracker'!L141,"")</f>
        <v/>
      </c>
      <c r="F141" s="40" t="str">
        <f>IFERROR(IF(ISNUMBER('Communication Tracker'!N141),'Communication Tracker'!N141,""),"")</f>
        <v/>
      </c>
      <c r="G141" s="34" t="str">
        <f>IF('Communication Tracker'!O141="","",'Communication Tracker'!O141)</f>
        <v/>
      </c>
      <c r="H141" s="39" t="str">
        <f>IF('Communication Tracker'!B141="","",IF(OR('Communication Tracker'!O141="Positive Reply",'Communication Tracker'!O141="Accepted",'Communication Tracker'!O141="Rejected"),"Case closed - no action needed",IF(ISNUMBER('Communication Tracker'!M141),IF('Communication Tracker'!M141&gt;14,"URGENT - send a follow-up today",IF('Communication Tracker'!M141&gt;=7,"Prepare follow-up - send within "&amp;(14-'Communication Tracker'!M141)&amp;" days","Monitoring - next follow-up in "&amp;(14-'Communication Tracker'!M141)&amp;" days")),"")))</f>
        <v/>
      </c>
    </row>
    <row r="142" spans="1:8" ht="24" customHeight="1" x14ac:dyDescent="0.3">
      <c r="A142" s="61" t="str">
        <f>IF('Communication Tracker'!B142="","",139)</f>
        <v/>
      </c>
      <c r="B142" s="39" t="str">
        <f>IF('Communication Tracker'!B142="","",'Communication Tracker'!B142)</f>
        <v/>
      </c>
      <c r="C142" s="36" t="str">
        <f>IF('Communication Tracker'!C142="","",'Communication Tracker'!C142)</f>
        <v/>
      </c>
      <c r="D142" s="62" t="str">
        <f ca="1">IFERROR(IF(ISNUMBER('Communication Tracker'!M142),'Communication Tracker'!M142,""),"")</f>
        <v/>
      </c>
      <c r="E142" s="40" t="str">
        <f>IFERROR('Communication Tracker'!L142,"")</f>
        <v/>
      </c>
      <c r="F142" s="40" t="str">
        <f>IFERROR(IF(ISNUMBER('Communication Tracker'!N142),'Communication Tracker'!N142,""),"")</f>
        <v/>
      </c>
      <c r="G142" s="34" t="str">
        <f>IF('Communication Tracker'!O142="","",'Communication Tracker'!O142)</f>
        <v/>
      </c>
      <c r="H142" s="39" t="str">
        <f>IF('Communication Tracker'!B142="","",IF(OR('Communication Tracker'!O142="Positive Reply",'Communication Tracker'!O142="Accepted",'Communication Tracker'!O142="Rejected"),"Case closed - no action needed",IF(ISNUMBER('Communication Tracker'!M142),IF('Communication Tracker'!M142&gt;14,"URGENT - send a follow-up today",IF('Communication Tracker'!M142&gt;=7,"Prepare follow-up - send within "&amp;(14-'Communication Tracker'!M142)&amp;" days","Monitoring - next follow-up in "&amp;(14-'Communication Tracker'!M142)&amp;" days")),"")))</f>
        <v/>
      </c>
    </row>
    <row r="143" spans="1:8" ht="24" customHeight="1" x14ac:dyDescent="0.3">
      <c r="A143" s="61" t="str">
        <f>IF('Communication Tracker'!B143="","",140)</f>
        <v/>
      </c>
      <c r="B143" s="39" t="str">
        <f>IF('Communication Tracker'!B143="","",'Communication Tracker'!B143)</f>
        <v/>
      </c>
      <c r="C143" s="36" t="str">
        <f>IF('Communication Tracker'!C143="","",'Communication Tracker'!C143)</f>
        <v/>
      </c>
      <c r="D143" s="62" t="str">
        <f ca="1">IFERROR(IF(ISNUMBER('Communication Tracker'!M143),'Communication Tracker'!M143,""),"")</f>
        <v/>
      </c>
      <c r="E143" s="40" t="str">
        <f>IFERROR('Communication Tracker'!L143,"")</f>
        <v/>
      </c>
      <c r="F143" s="40" t="str">
        <f>IFERROR(IF(ISNUMBER('Communication Tracker'!N143),'Communication Tracker'!N143,""),"")</f>
        <v/>
      </c>
      <c r="G143" s="34" t="str">
        <f>IF('Communication Tracker'!O143="","",'Communication Tracker'!O143)</f>
        <v/>
      </c>
      <c r="H143" s="39" t="str">
        <f>IF('Communication Tracker'!B143="","",IF(OR('Communication Tracker'!O143="Positive Reply",'Communication Tracker'!O143="Accepted",'Communication Tracker'!O143="Rejected"),"Case closed - no action needed",IF(ISNUMBER('Communication Tracker'!M143),IF('Communication Tracker'!M143&gt;14,"URGENT - send a follow-up today",IF('Communication Tracker'!M143&gt;=7,"Prepare follow-up - send within "&amp;(14-'Communication Tracker'!M143)&amp;" days","Monitoring - next follow-up in "&amp;(14-'Communication Tracker'!M143)&amp;" days")),"")))</f>
        <v/>
      </c>
    </row>
    <row r="144" spans="1:8" ht="24" customHeight="1" x14ac:dyDescent="0.3">
      <c r="A144" s="61" t="str">
        <f>IF('Communication Tracker'!B144="","",141)</f>
        <v/>
      </c>
      <c r="B144" s="39" t="str">
        <f>IF('Communication Tracker'!B144="","",'Communication Tracker'!B144)</f>
        <v/>
      </c>
      <c r="C144" s="36" t="str">
        <f>IF('Communication Tracker'!C144="","",'Communication Tracker'!C144)</f>
        <v/>
      </c>
      <c r="D144" s="62" t="str">
        <f ca="1">IFERROR(IF(ISNUMBER('Communication Tracker'!M144),'Communication Tracker'!M144,""),"")</f>
        <v/>
      </c>
      <c r="E144" s="40" t="str">
        <f>IFERROR('Communication Tracker'!L144,"")</f>
        <v/>
      </c>
      <c r="F144" s="40" t="str">
        <f>IFERROR(IF(ISNUMBER('Communication Tracker'!N144),'Communication Tracker'!N144,""),"")</f>
        <v/>
      </c>
      <c r="G144" s="34" t="str">
        <f>IF('Communication Tracker'!O144="","",'Communication Tracker'!O144)</f>
        <v/>
      </c>
      <c r="H144" s="39" t="str">
        <f>IF('Communication Tracker'!B144="","",IF(OR('Communication Tracker'!O144="Positive Reply",'Communication Tracker'!O144="Accepted",'Communication Tracker'!O144="Rejected"),"Case closed - no action needed",IF(ISNUMBER('Communication Tracker'!M144),IF('Communication Tracker'!M144&gt;14,"URGENT - send a follow-up today",IF('Communication Tracker'!M144&gt;=7,"Prepare follow-up - send within "&amp;(14-'Communication Tracker'!M144)&amp;" days","Monitoring - next follow-up in "&amp;(14-'Communication Tracker'!M144)&amp;" days")),"")))</f>
        <v/>
      </c>
    </row>
    <row r="145" spans="1:8" ht="24" customHeight="1" x14ac:dyDescent="0.3">
      <c r="A145" s="61" t="str">
        <f>IF('Communication Tracker'!B145="","",142)</f>
        <v/>
      </c>
      <c r="B145" s="39" t="str">
        <f>IF('Communication Tracker'!B145="","",'Communication Tracker'!B145)</f>
        <v/>
      </c>
      <c r="C145" s="36" t="str">
        <f>IF('Communication Tracker'!C145="","",'Communication Tracker'!C145)</f>
        <v/>
      </c>
      <c r="D145" s="62" t="str">
        <f ca="1">IFERROR(IF(ISNUMBER('Communication Tracker'!M145),'Communication Tracker'!M145,""),"")</f>
        <v/>
      </c>
      <c r="E145" s="40" t="str">
        <f>IFERROR('Communication Tracker'!L145,"")</f>
        <v/>
      </c>
      <c r="F145" s="40" t="str">
        <f>IFERROR(IF(ISNUMBER('Communication Tracker'!N145),'Communication Tracker'!N145,""),"")</f>
        <v/>
      </c>
      <c r="G145" s="34" t="str">
        <f>IF('Communication Tracker'!O145="","",'Communication Tracker'!O145)</f>
        <v/>
      </c>
      <c r="H145" s="39" t="str">
        <f>IF('Communication Tracker'!B145="","",IF(OR('Communication Tracker'!O145="Positive Reply",'Communication Tracker'!O145="Accepted",'Communication Tracker'!O145="Rejected"),"Case closed - no action needed",IF(ISNUMBER('Communication Tracker'!M145),IF('Communication Tracker'!M145&gt;14,"URGENT - send a follow-up today",IF('Communication Tracker'!M145&gt;=7,"Prepare follow-up - send within "&amp;(14-'Communication Tracker'!M145)&amp;" days","Monitoring - next follow-up in "&amp;(14-'Communication Tracker'!M145)&amp;" days")),"")))</f>
        <v/>
      </c>
    </row>
    <row r="146" spans="1:8" ht="24" customHeight="1" x14ac:dyDescent="0.3">
      <c r="A146" s="61" t="str">
        <f>IF('Communication Tracker'!B146="","",143)</f>
        <v/>
      </c>
      <c r="B146" s="39" t="str">
        <f>IF('Communication Tracker'!B146="","",'Communication Tracker'!B146)</f>
        <v/>
      </c>
      <c r="C146" s="36" t="str">
        <f>IF('Communication Tracker'!C146="","",'Communication Tracker'!C146)</f>
        <v/>
      </c>
      <c r="D146" s="62" t="str">
        <f ca="1">IFERROR(IF(ISNUMBER('Communication Tracker'!M146),'Communication Tracker'!M146,""),"")</f>
        <v/>
      </c>
      <c r="E146" s="40" t="str">
        <f>IFERROR('Communication Tracker'!L146,"")</f>
        <v/>
      </c>
      <c r="F146" s="40" t="str">
        <f>IFERROR(IF(ISNUMBER('Communication Tracker'!N146),'Communication Tracker'!N146,""),"")</f>
        <v/>
      </c>
      <c r="G146" s="34" t="str">
        <f>IF('Communication Tracker'!O146="","",'Communication Tracker'!O146)</f>
        <v/>
      </c>
      <c r="H146" s="39" t="str">
        <f>IF('Communication Tracker'!B146="","",IF(OR('Communication Tracker'!O146="Positive Reply",'Communication Tracker'!O146="Accepted",'Communication Tracker'!O146="Rejected"),"Case closed - no action needed",IF(ISNUMBER('Communication Tracker'!M146),IF('Communication Tracker'!M146&gt;14,"URGENT - send a follow-up today",IF('Communication Tracker'!M146&gt;=7,"Prepare follow-up - send within "&amp;(14-'Communication Tracker'!M146)&amp;" days","Monitoring - next follow-up in "&amp;(14-'Communication Tracker'!M146)&amp;" days")),"")))</f>
        <v/>
      </c>
    </row>
    <row r="147" spans="1:8" ht="24" customHeight="1" x14ac:dyDescent="0.3">
      <c r="A147" s="61" t="str">
        <f>IF('Communication Tracker'!B147="","",144)</f>
        <v/>
      </c>
      <c r="B147" s="39" t="str">
        <f>IF('Communication Tracker'!B147="","",'Communication Tracker'!B147)</f>
        <v/>
      </c>
      <c r="C147" s="36" t="str">
        <f>IF('Communication Tracker'!C147="","",'Communication Tracker'!C147)</f>
        <v/>
      </c>
      <c r="D147" s="62" t="str">
        <f ca="1">IFERROR(IF(ISNUMBER('Communication Tracker'!M147),'Communication Tracker'!M147,""),"")</f>
        <v/>
      </c>
      <c r="E147" s="40" t="str">
        <f>IFERROR('Communication Tracker'!L147,"")</f>
        <v/>
      </c>
      <c r="F147" s="40" t="str">
        <f>IFERROR(IF(ISNUMBER('Communication Tracker'!N147),'Communication Tracker'!N147,""),"")</f>
        <v/>
      </c>
      <c r="G147" s="34" t="str">
        <f>IF('Communication Tracker'!O147="","",'Communication Tracker'!O147)</f>
        <v/>
      </c>
      <c r="H147" s="39" t="str">
        <f>IF('Communication Tracker'!B147="","",IF(OR('Communication Tracker'!O147="Positive Reply",'Communication Tracker'!O147="Accepted",'Communication Tracker'!O147="Rejected"),"Case closed - no action needed",IF(ISNUMBER('Communication Tracker'!M147),IF('Communication Tracker'!M147&gt;14,"URGENT - send a follow-up today",IF('Communication Tracker'!M147&gt;=7,"Prepare follow-up - send within "&amp;(14-'Communication Tracker'!M147)&amp;" days","Monitoring - next follow-up in "&amp;(14-'Communication Tracker'!M147)&amp;" days")),"")))</f>
        <v/>
      </c>
    </row>
    <row r="148" spans="1:8" ht="24" customHeight="1" x14ac:dyDescent="0.3">
      <c r="A148" s="61" t="str">
        <f>IF('Communication Tracker'!B148="","",145)</f>
        <v/>
      </c>
      <c r="B148" s="39" t="str">
        <f>IF('Communication Tracker'!B148="","",'Communication Tracker'!B148)</f>
        <v/>
      </c>
      <c r="C148" s="36" t="str">
        <f>IF('Communication Tracker'!C148="","",'Communication Tracker'!C148)</f>
        <v/>
      </c>
      <c r="D148" s="62" t="str">
        <f ca="1">IFERROR(IF(ISNUMBER('Communication Tracker'!M148),'Communication Tracker'!M148,""),"")</f>
        <v/>
      </c>
      <c r="E148" s="40" t="str">
        <f>IFERROR('Communication Tracker'!L148,"")</f>
        <v/>
      </c>
      <c r="F148" s="40" t="str">
        <f>IFERROR(IF(ISNUMBER('Communication Tracker'!N148),'Communication Tracker'!N148,""),"")</f>
        <v/>
      </c>
      <c r="G148" s="34" t="str">
        <f>IF('Communication Tracker'!O148="","",'Communication Tracker'!O148)</f>
        <v/>
      </c>
      <c r="H148" s="39" t="str">
        <f>IF('Communication Tracker'!B148="","",IF(OR('Communication Tracker'!O148="Positive Reply",'Communication Tracker'!O148="Accepted",'Communication Tracker'!O148="Rejected"),"Case closed - no action needed",IF(ISNUMBER('Communication Tracker'!M148),IF('Communication Tracker'!M148&gt;14,"URGENT - send a follow-up today",IF('Communication Tracker'!M148&gt;=7,"Prepare follow-up - send within "&amp;(14-'Communication Tracker'!M148)&amp;" days","Monitoring - next follow-up in "&amp;(14-'Communication Tracker'!M148)&amp;" days")),"")))</f>
        <v/>
      </c>
    </row>
    <row r="149" spans="1:8" ht="24" customHeight="1" x14ac:dyDescent="0.3">
      <c r="A149" s="61" t="str">
        <f>IF('Communication Tracker'!B149="","",146)</f>
        <v/>
      </c>
      <c r="B149" s="39" t="str">
        <f>IF('Communication Tracker'!B149="","",'Communication Tracker'!B149)</f>
        <v/>
      </c>
      <c r="C149" s="36" t="str">
        <f>IF('Communication Tracker'!C149="","",'Communication Tracker'!C149)</f>
        <v/>
      </c>
      <c r="D149" s="62" t="str">
        <f ca="1">IFERROR(IF(ISNUMBER('Communication Tracker'!M149),'Communication Tracker'!M149,""),"")</f>
        <v/>
      </c>
      <c r="E149" s="40" t="str">
        <f>IFERROR('Communication Tracker'!L149,"")</f>
        <v/>
      </c>
      <c r="F149" s="40" t="str">
        <f>IFERROR(IF(ISNUMBER('Communication Tracker'!N149),'Communication Tracker'!N149,""),"")</f>
        <v/>
      </c>
      <c r="G149" s="34" t="str">
        <f>IF('Communication Tracker'!O149="","",'Communication Tracker'!O149)</f>
        <v/>
      </c>
      <c r="H149" s="39" t="str">
        <f>IF('Communication Tracker'!B149="","",IF(OR('Communication Tracker'!O149="Positive Reply",'Communication Tracker'!O149="Accepted",'Communication Tracker'!O149="Rejected"),"Case closed - no action needed",IF(ISNUMBER('Communication Tracker'!M149),IF('Communication Tracker'!M149&gt;14,"URGENT - send a follow-up today",IF('Communication Tracker'!M149&gt;=7,"Prepare follow-up - send within "&amp;(14-'Communication Tracker'!M149)&amp;" days","Monitoring - next follow-up in "&amp;(14-'Communication Tracker'!M149)&amp;" days")),"")))</f>
        <v/>
      </c>
    </row>
    <row r="150" spans="1:8" ht="24" customHeight="1" x14ac:dyDescent="0.3">
      <c r="A150" s="61" t="str">
        <f>IF('Communication Tracker'!B150="","",147)</f>
        <v/>
      </c>
      <c r="B150" s="39" t="str">
        <f>IF('Communication Tracker'!B150="","",'Communication Tracker'!B150)</f>
        <v/>
      </c>
      <c r="C150" s="36" t="str">
        <f>IF('Communication Tracker'!C150="","",'Communication Tracker'!C150)</f>
        <v/>
      </c>
      <c r="D150" s="62" t="str">
        <f ca="1">IFERROR(IF(ISNUMBER('Communication Tracker'!M150),'Communication Tracker'!M150,""),"")</f>
        <v/>
      </c>
      <c r="E150" s="40" t="str">
        <f>IFERROR('Communication Tracker'!L150,"")</f>
        <v/>
      </c>
      <c r="F150" s="40" t="str">
        <f>IFERROR(IF(ISNUMBER('Communication Tracker'!N150),'Communication Tracker'!N150,""),"")</f>
        <v/>
      </c>
      <c r="G150" s="34" t="str">
        <f>IF('Communication Tracker'!O150="","",'Communication Tracker'!O150)</f>
        <v/>
      </c>
      <c r="H150" s="39" t="str">
        <f>IF('Communication Tracker'!B150="","",IF(OR('Communication Tracker'!O150="Positive Reply",'Communication Tracker'!O150="Accepted",'Communication Tracker'!O150="Rejected"),"Case closed - no action needed",IF(ISNUMBER('Communication Tracker'!M150),IF('Communication Tracker'!M150&gt;14,"URGENT - send a follow-up today",IF('Communication Tracker'!M150&gt;=7,"Prepare follow-up - send within "&amp;(14-'Communication Tracker'!M150)&amp;" days","Monitoring - next follow-up in "&amp;(14-'Communication Tracker'!M150)&amp;" days")),"")))</f>
        <v/>
      </c>
    </row>
    <row r="151" spans="1:8" ht="24" customHeight="1" x14ac:dyDescent="0.3">
      <c r="A151" s="61" t="str">
        <f>IF('Communication Tracker'!B151="","",148)</f>
        <v/>
      </c>
      <c r="B151" s="39" t="str">
        <f>IF('Communication Tracker'!B151="","",'Communication Tracker'!B151)</f>
        <v/>
      </c>
      <c r="C151" s="36" t="str">
        <f>IF('Communication Tracker'!C151="","",'Communication Tracker'!C151)</f>
        <v/>
      </c>
      <c r="D151" s="62" t="str">
        <f ca="1">IFERROR(IF(ISNUMBER('Communication Tracker'!M151),'Communication Tracker'!M151,""),"")</f>
        <v/>
      </c>
      <c r="E151" s="40" t="str">
        <f>IFERROR('Communication Tracker'!L151,"")</f>
        <v/>
      </c>
      <c r="F151" s="40" t="str">
        <f>IFERROR(IF(ISNUMBER('Communication Tracker'!N151),'Communication Tracker'!N151,""),"")</f>
        <v/>
      </c>
      <c r="G151" s="34" t="str">
        <f>IF('Communication Tracker'!O151="","",'Communication Tracker'!O151)</f>
        <v/>
      </c>
      <c r="H151" s="39" t="str">
        <f>IF('Communication Tracker'!B151="","",IF(OR('Communication Tracker'!O151="Positive Reply",'Communication Tracker'!O151="Accepted",'Communication Tracker'!O151="Rejected"),"Case closed - no action needed",IF(ISNUMBER('Communication Tracker'!M151),IF('Communication Tracker'!M151&gt;14,"URGENT - send a follow-up today",IF('Communication Tracker'!M151&gt;=7,"Prepare follow-up - send within "&amp;(14-'Communication Tracker'!M151)&amp;" days","Monitoring - next follow-up in "&amp;(14-'Communication Tracker'!M151)&amp;" days")),"")))</f>
        <v/>
      </c>
    </row>
    <row r="152" spans="1:8" ht="24" customHeight="1" x14ac:dyDescent="0.3">
      <c r="A152" s="61" t="str">
        <f>IF('Communication Tracker'!B152="","",149)</f>
        <v/>
      </c>
      <c r="B152" s="39" t="str">
        <f>IF('Communication Tracker'!B152="","",'Communication Tracker'!B152)</f>
        <v/>
      </c>
      <c r="C152" s="36" t="str">
        <f>IF('Communication Tracker'!C152="","",'Communication Tracker'!C152)</f>
        <v/>
      </c>
      <c r="D152" s="62" t="str">
        <f ca="1">IFERROR(IF(ISNUMBER('Communication Tracker'!M152),'Communication Tracker'!M152,""),"")</f>
        <v/>
      </c>
      <c r="E152" s="40" t="str">
        <f>IFERROR('Communication Tracker'!L152,"")</f>
        <v/>
      </c>
      <c r="F152" s="40" t="str">
        <f>IFERROR(IF(ISNUMBER('Communication Tracker'!N152),'Communication Tracker'!N152,""),"")</f>
        <v/>
      </c>
      <c r="G152" s="34" t="str">
        <f>IF('Communication Tracker'!O152="","",'Communication Tracker'!O152)</f>
        <v/>
      </c>
      <c r="H152" s="39" t="str">
        <f>IF('Communication Tracker'!B152="","",IF(OR('Communication Tracker'!O152="Positive Reply",'Communication Tracker'!O152="Accepted",'Communication Tracker'!O152="Rejected"),"Case closed - no action needed",IF(ISNUMBER('Communication Tracker'!M152),IF('Communication Tracker'!M152&gt;14,"URGENT - send a follow-up today",IF('Communication Tracker'!M152&gt;=7,"Prepare follow-up - send within "&amp;(14-'Communication Tracker'!M152)&amp;" days","Monitoring - next follow-up in "&amp;(14-'Communication Tracker'!M152)&amp;" days")),"")))</f>
        <v/>
      </c>
    </row>
    <row r="153" spans="1:8" ht="24" customHeight="1" x14ac:dyDescent="0.3">
      <c r="A153" s="61" t="str">
        <f>IF('Communication Tracker'!B153="","",150)</f>
        <v/>
      </c>
      <c r="B153" s="39" t="str">
        <f>IF('Communication Tracker'!B153="","",'Communication Tracker'!B153)</f>
        <v/>
      </c>
      <c r="C153" s="36" t="str">
        <f>IF('Communication Tracker'!C153="","",'Communication Tracker'!C153)</f>
        <v/>
      </c>
      <c r="D153" s="62" t="str">
        <f ca="1">IFERROR(IF(ISNUMBER('Communication Tracker'!M153),'Communication Tracker'!M153,""),"")</f>
        <v/>
      </c>
      <c r="E153" s="40" t="str">
        <f>IFERROR('Communication Tracker'!L153,"")</f>
        <v/>
      </c>
      <c r="F153" s="40" t="str">
        <f>IFERROR(IF(ISNUMBER('Communication Tracker'!N153),'Communication Tracker'!N153,""),"")</f>
        <v/>
      </c>
      <c r="G153" s="34" t="str">
        <f>IF('Communication Tracker'!O153="","",'Communication Tracker'!O153)</f>
        <v/>
      </c>
      <c r="H153" s="39" t="str">
        <f>IF('Communication Tracker'!B153="","",IF(OR('Communication Tracker'!O153="Positive Reply",'Communication Tracker'!O153="Accepted",'Communication Tracker'!O153="Rejected"),"Case closed - no action needed",IF(ISNUMBER('Communication Tracker'!M153),IF('Communication Tracker'!M153&gt;14,"URGENT - send a follow-up today",IF('Communication Tracker'!M153&gt;=7,"Prepare follow-up - send within "&amp;(14-'Communication Tracker'!M153)&amp;" days","Monitoring - next follow-up in "&amp;(14-'Communication Tracker'!M153)&amp;" days")),"")))</f>
        <v/>
      </c>
    </row>
    <row r="154" spans="1:8" ht="24" customHeight="1" x14ac:dyDescent="0.3">
      <c r="A154" s="61" t="str">
        <f>IF('Communication Tracker'!B154="","",151)</f>
        <v/>
      </c>
      <c r="B154" s="39" t="str">
        <f>IF('Communication Tracker'!B154="","",'Communication Tracker'!B154)</f>
        <v/>
      </c>
      <c r="C154" s="36" t="str">
        <f>IF('Communication Tracker'!C154="","",'Communication Tracker'!C154)</f>
        <v/>
      </c>
      <c r="D154" s="62" t="str">
        <f ca="1">IFERROR(IF(ISNUMBER('Communication Tracker'!M154),'Communication Tracker'!M154,""),"")</f>
        <v/>
      </c>
      <c r="E154" s="40" t="str">
        <f>IFERROR('Communication Tracker'!L154,"")</f>
        <v/>
      </c>
      <c r="F154" s="40" t="str">
        <f>IFERROR(IF(ISNUMBER('Communication Tracker'!N154),'Communication Tracker'!N154,""),"")</f>
        <v/>
      </c>
      <c r="G154" s="34" t="str">
        <f>IF('Communication Tracker'!O154="","",'Communication Tracker'!O154)</f>
        <v/>
      </c>
      <c r="H154" s="39" t="str">
        <f>IF('Communication Tracker'!B154="","",IF(OR('Communication Tracker'!O154="Positive Reply",'Communication Tracker'!O154="Accepted",'Communication Tracker'!O154="Rejected"),"Case closed - no action needed",IF(ISNUMBER('Communication Tracker'!M154),IF('Communication Tracker'!M154&gt;14,"URGENT - send a follow-up today",IF('Communication Tracker'!M154&gt;=7,"Prepare follow-up - send within "&amp;(14-'Communication Tracker'!M154)&amp;" days","Monitoring - next follow-up in "&amp;(14-'Communication Tracker'!M154)&amp;" days")),"")))</f>
        <v/>
      </c>
    </row>
    <row r="155" spans="1:8" ht="24" customHeight="1" x14ac:dyDescent="0.3">
      <c r="A155" s="61" t="str">
        <f>IF('Communication Tracker'!B155="","",152)</f>
        <v/>
      </c>
      <c r="B155" s="39" t="str">
        <f>IF('Communication Tracker'!B155="","",'Communication Tracker'!B155)</f>
        <v/>
      </c>
      <c r="C155" s="36" t="str">
        <f>IF('Communication Tracker'!C155="","",'Communication Tracker'!C155)</f>
        <v/>
      </c>
      <c r="D155" s="62" t="str">
        <f ca="1">IFERROR(IF(ISNUMBER('Communication Tracker'!M155),'Communication Tracker'!M155,""),"")</f>
        <v/>
      </c>
      <c r="E155" s="40" t="str">
        <f>IFERROR('Communication Tracker'!L155,"")</f>
        <v/>
      </c>
      <c r="F155" s="40" t="str">
        <f>IFERROR(IF(ISNUMBER('Communication Tracker'!N155),'Communication Tracker'!N155,""),"")</f>
        <v/>
      </c>
      <c r="G155" s="34" t="str">
        <f>IF('Communication Tracker'!O155="","",'Communication Tracker'!O155)</f>
        <v/>
      </c>
      <c r="H155" s="39" t="str">
        <f>IF('Communication Tracker'!B155="","",IF(OR('Communication Tracker'!O155="Positive Reply",'Communication Tracker'!O155="Accepted",'Communication Tracker'!O155="Rejected"),"Case closed - no action needed",IF(ISNUMBER('Communication Tracker'!M155),IF('Communication Tracker'!M155&gt;14,"URGENT - send a follow-up today",IF('Communication Tracker'!M155&gt;=7,"Prepare follow-up - send within "&amp;(14-'Communication Tracker'!M155)&amp;" days","Monitoring - next follow-up in "&amp;(14-'Communication Tracker'!M155)&amp;" days")),"")))</f>
        <v/>
      </c>
    </row>
    <row r="156" spans="1:8" ht="24" customHeight="1" x14ac:dyDescent="0.3">
      <c r="A156" s="61" t="str">
        <f>IF('Communication Tracker'!B156="","",153)</f>
        <v/>
      </c>
      <c r="B156" s="39" t="str">
        <f>IF('Communication Tracker'!B156="","",'Communication Tracker'!B156)</f>
        <v/>
      </c>
      <c r="C156" s="36" t="str">
        <f>IF('Communication Tracker'!C156="","",'Communication Tracker'!C156)</f>
        <v/>
      </c>
      <c r="D156" s="62" t="str">
        <f ca="1">IFERROR(IF(ISNUMBER('Communication Tracker'!M156),'Communication Tracker'!M156,""),"")</f>
        <v/>
      </c>
      <c r="E156" s="40" t="str">
        <f>IFERROR('Communication Tracker'!L156,"")</f>
        <v/>
      </c>
      <c r="F156" s="40" t="str">
        <f>IFERROR(IF(ISNUMBER('Communication Tracker'!N156),'Communication Tracker'!N156,""),"")</f>
        <v/>
      </c>
      <c r="G156" s="34" t="str">
        <f>IF('Communication Tracker'!O156="","",'Communication Tracker'!O156)</f>
        <v/>
      </c>
      <c r="H156" s="39" t="str">
        <f>IF('Communication Tracker'!B156="","",IF(OR('Communication Tracker'!O156="Positive Reply",'Communication Tracker'!O156="Accepted",'Communication Tracker'!O156="Rejected"),"Case closed - no action needed",IF(ISNUMBER('Communication Tracker'!M156),IF('Communication Tracker'!M156&gt;14,"URGENT - send a follow-up today",IF('Communication Tracker'!M156&gt;=7,"Prepare follow-up - send within "&amp;(14-'Communication Tracker'!M156)&amp;" days","Monitoring - next follow-up in "&amp;(14-'Communication Tracker'!M156)&amp;" days")),"")))</f>
        <v/>
      </c>
    </row>
    <row r="157" spans="1:8" ht="24" customHeight="1" x14ac:dyDescent="0.3">
      <c r="A157" s="61" t="str">
        <f>IF('Communication Tracker'!B157="","",154)</f>
        <v/>
      </c>
      <c r="B157" s="39" t="str">
        <f>IF('Communication Tracker'!B157="","",'Communication Tracker'!B157)</f>
        <v/>
      </c>
      <c r="C157" s="36" t="str">
        <f>IF('Communication Tracker'!C157="","",'Communication Tracker'!C157)</f>
        <v/>
      </c>
      <c r="D157" s="62" t="str">
        <f ca="1">IFERROR(IF(ISNUMBER('Communication Tracker'!M157),'Communication Tracker'!M157,""),"")</f>
        <v/>
      </c>
      <c r="E157" s="40" t="str">
        <f>IFERROR('Communication Tracker'!L157,"")</f>
        <v/>
      </c>
      <c r="F157" s="40" t="str">
        <f>IFERROR(IF(ISNUMBER('Communication Tracker'!N157),'Communication Tracker'!N157,""),"")</f>
        <v/>
      </c>
      <c r="G157" s="34" t="str">
        <f>IF('Communication Tracker'!O157="","",'Communication Tracker'!O157)</f>
        <v/>
      </c>
      <c r="H157" s="39" t="str">
        <f>IF('Communication Tracker'!B157="","",IF(OR('Communication Tracker'!O157="Positive Reply",'Communication Tracker'!O157="Accepted",'Communication Tracker'!O157="Rejected"),"Case closed - no action needed",IF(ISNUMBER('Communication Tracker'!M157),IF('Communication Tracker'!M157&gt;14,"URGENT - send a follow-up today",IF('Communication Tracker'!M157&gt;=7,"Prepare follow-up - send within "&amp;(14-'Communication Tracker'!M157)&amp;" days","Monitoring - next follow-up in "&amp;(14-'Communication Tracker'!M157)&amp;" days")),"")))</f>
        <v/>
      </c>
    </row>
    <row r="158" spans="1:8" ht="24" customHeight="1" x14ac:dyDescent="0.3">
      <c r="A158" s="61" t="str">
        <f>IF('Communication Tracker'!B158="","",155)</f>
        <v/>
      </c>
      <c r="B158" s="39" t="str">
        <f>IF('Communication Tracker'!B158="","",'Communication Tracker'!B158)</f>
        <v/>
      </c>
      <c r="C158" s="36" t="str">
        <f>IF('Communication Tracker'!C158="","",'Communication Tracker'!C158)</f>
        <v/>
      </c>
      <c r="D158" s="62" t="str">
        <f ca="1">IFERROR(IF(ISNUMBER('Communication Tracker'!M158),'Communication Tracker'!M158,""),"")</f>
        <v/>
      </c>
      <c r="E158" s="40" t="str">
        <f>IFERROR('Communication Tracker'!L158,"")</f>
        <v/>
      </c>
      <c r="F158" s="40" t="str">
        <f>IFERROR(IF(ISNUMBER('Communication Tracker'!N158),'Communication Tracker'!N158,""),"")</f>
        <v/>
      </c>
      <c r="G158" s="34" t="str">
        <f>IF('Communication Tracker'!O158="","",'Communication Tracker'!O158)</f>
        <v/>
      </c>
      <c r="H158" s="39" t="str">
        <f>IF('Communication Tracker'!B158="","",IF(OR('Communication Tracker'!O158="Positive Reply",'Communication Tracker'!O158="Accepted",'Communication Tracker'!O158="Rejected"),"Case closed - no action needed",IF(ISNUMBER('Communication Tracker'!M158),IF('Communication Tracker'!M158&gt;14,"URGENT - send a follow-up today",IF('Communication Tracker'!M158&gt;=7,"Prepare follow-up - send within "&amp;(14-'Communication Tracker'!M158)&amp;" days","Monitoring - next follow-up in "&amp;(14-'Communication Tracker'!M158)&amp;" days")),"")))</f>
        <v/>
      </c>
    </row>
    <row r="159" spans="1:8" ht="24" customHeight="1" x14ac:dyDescent="0.3">
      <c r="A159" s="61" t="str">
        <f>IF('Communication Tracker'!B159="","",156)</f>
        <v/>
      </c>
      <c r="B159" s="39" t="str">
        <f>IF('Communication Tracker'!B159="","",'Communication Tracker'!B159)</f>
        <v/>
      </c>
      <c r="C159" s="36" t="str">
        <f>IF('Communication Tracker'!C159="","",'Communication Tracker'!C159)</f>
        <v/>
      </c>
      <c r="D159" s="62" t="str">
        <f ca="1">IFERROR(IF(ISNUMBER('Communication Tracker'!M159),'Communication Tracker'!M159,""),"")</f>
        <v/>
      </c>
      <c r="E159" s="40" t="str">
        <f>IFERROR('Communication Tracker'!L159,"")</f>
        <v/>
      </c>
      <c r="F159" s="40" t="str">
        <f>IFERROR(IF(ISNUMBER('Communication Tracker'!N159),'Communication Tracker'!N159,""),"")</f>
        <v/>
      </c>
      <c r="G159" s="34" t="str">
        <f>IF('Communication Tracker'!O159="","",'Communication Tracker'!O159)</f>
        <v/>
      </c>
      <c r="H159" s="39" t="str">
        <f>IF('Communication Tracker'!B159="","",IF(OR('Communication Tracker'!O159="Positive Reply",'Communication Tracker'!O159="Accepted",'Communication Tracker'!O159="Rejected"),"Case closed - no action needed",IF(ISNUMBER('Communication Tracker'!M159),IF('Communication Tracker'!M159&gt;14,"URGENT - send a follow-up today",IF('Communication Tracker'!M159&gt;=7,"Prepare follow-up - send within "&amp;(14-'Communication Tracker'!M159)&amp;" days","Monitoring - next follow-up in "&amp;(14-'Communication Tracker'!M159)&amp;" days")),"")))</f>
        <v/>
      </c>
    </row>
    <row r="160" spans="1:8" ht="24" customHeight="1" x14ac:dyDescent="0.3">
      <c r="A160" s="61" t="str">
        <f>IF('Communication Tracker'!B160="","",157)</f>
        <v/>
      </c>
      <c r="B160" s="39" t="str">
        <f>IF('Communication Tracker'!B160="","",'Communication Tracker'!B160)</f>
        <v/>
      </c>
      <c r="C160" s="36" t="str">
        <f>IF('Communication Tracker'!C160="","",'Communication Tracker'!C160)</f>
        <v/>
      </c>
      <c r="D160" s="62" t="str">
        <f ca="1">IFERROR(IF(ISNUMBER('Communication Tracker'!M160),'Communication Tracker'!M160,""),"")</f>
        <v/>
      </c>
      <c r="E160" s="40" t="str">
        <f>IFERROR('Communication Tracker'!L160,"")</f>
        <v/>
      </c>
      <c r="F160" s="40" t="str">
        <f>IFERROR(IF(ISNUMBER('Communication Tracker'!N160),'Communication Tracker'!N160,""),"")</f>
        <v/>
      </c>
      <c r="G160" s="34" t="str">
        <f>IF('Communication Tracker'!O160="","",'Communication Tracker'!O160)</f>
        <v/>
      </c>
      <c r="H160" s="39" t="str">
        <f>IF('Communication Tracker'!B160="","",IF(OR('Communication Tracker'!O160="Positive Reply",'Communication Tracker'!O160="Accepted",'Communication Tracker'!O160="Rejected"),"Case closed - no action needed",IF(ISNUMBER('Communication Tracker'!M160),IF('Communication Tracker'!M160&gt;14,"URGENT - send a follow-up today",IF('Communication Tracker'!M160&gt;=7,"Prepare follow-up - send within "&amp;(14-'Communication Tracker'!M160)&amp;" days","Monitoring - next follow-up in "&amp;(14-'Communication Tracker'!M160)&amp;" days")),"")))</f>
        <v/>
      </c>
    </row>
    <row r="161" spans="1:8" ht="24" customHeight="1" x14ac:dyDescent="0.3">
      <c r="A161" s="61" t="str">
        <f>IF('Communication Tracker'!B161="","",158)</f>
        <v/>
      </c>
      <c r="B161" s="39" t="str">
        <f>IF('Communication Tracker'!B161="","",'Communication Tracker'!B161)</f>
        <v/>
      </c>
      <c r="C161" s="36" t="str">
        <f>IF('Communication Tracker'!C161="","",'Communication Tracker'!C161)</f>
        <v/>
      </c>
      <c r="D161" s="62" t="str">
        <f ca="1">IFERROR(IF(ISNUMBER('Communication Tracker'!M161),'Communication Tracker'!M161,""),"")</f>
        <v/>
      </c>
      <c r="E161" s="40" t="str">
        <f>IFERROR('Communication Tracker'!L161,"")</f>
        <v/>
      </c>
      <c r="F161" s="40" t="str">
        <f>IFERROR(IF(ISNUMBER('Communication Tracker'!N161),'Communication Tracker'!N161,""),"")</f>
        <v/>
      </c>
      <c r="G161" s="34" t="str">
        <f>IF('Communication Tracker'!O161="","",'Communication Tracker'!O161)</f>
        <v/>
      </c>
      <c r="H161" s="39" t="str">
        <f>IF('Communication Tracker'!B161="","",IF(OR('Communication Tracker'!O161="Positive Reply",'Communication Tracker'!O161="Accepted",'Communication Tracker'!O161="Rejected"),"Case closed - no action needed",IF(ISNUMBER('Communication Tracker'!M161),IF('Communication Tracker'!M161&gt;14,"URGENT - send a follow-up today",IF('Communication Tracker'!M161&gt;=7,"Prepare follow-up - send within "&amp;(14-'Communication Tracker'!M161)&amp;" days","Monitoring - next follow-up in "&amp;(14-'Communication Tracker'!M161)&amp;" days")),"")))</f>
        <v/>
      </c>
    </row>
    <row r="162" spans="1:8" ht="24" customHeight="1" x14ac:dyDescent="0.3">
      <c r="A162" s="61" t="str">
        <f>IF('Communication Tracker'!B162="","",159)</f>
        <v/>
      </c>
      <c r="B162" s="39" t="str">
        <f>IF('Communication Tracker'!B162="","",'Communication Tracker'!B162)</f>
        <v/>
      </c>
      <c r="C162" s="36" t="str">
        <f>IF('Communication Tracker'!C162="","",'Communication Tracker'!C162)</f>
        <v/>
      </c>
      <c r="D162" s="62" t="str">
        <f ca="1">IFERROR(IF(ISNUMBER('Communication Tracker'!M162),'Communication Tracker'!M162,""),"")</f>
        <v/>
      </c>
      <c r="E162" s="40" t="str">
        <f>IFERROR('Communication Tracker'!L162,"")</f>
        <v/>
      </c>
      <c r="F162" s="40" t="str">
        <f>IFERROR(IF(ISNUMBER('Communication Tracker'!N162),'Communication Tracker'!N162,""),"")</f>
        <v/>
      </c>
      <c r="G162" s="34" t="str">
        <f>IF('Communication Tracker'!O162="","",'Communication Tracker'!O162)</f>
        <v/>
      </c>
      <c r="H162" s="39" t="str">
        <f>IF('Communication Tracker'!B162="","",IF(OR('Communication Tracker'!O162="Positive Reply",'Communication Tracker'!O162="Accepted",'Communication Tracker'!O162="Rejected"),"Case closed - no action needed",IF(ISNUMBER('Communication Tracker'!M162),IF('Communication Tracker'!M162&gt;14,"URGENT - send a follow-up today",IF('Communication Tracker'!M162&gt;=7,"Prepare follow-up - send within "&amp;(14-'Communication Tracker'!M162)&amp;" days","Monitoring - next follow-up in "&amp;(14-'Communication Tracker'!M162)&amp;" days")),"")))</f>
        <v/>
      </c>
    </row>
    <row r="163" spans="1:8" ht="24" customHeight="1" x14ac:dyDescent="0.3">
      <c r="A163" s="61" t="str">
        <f>IF('Communication Tracker'!B163="","",160)</f>
        <v/>
      </c>
      <c r="B163" s="39" t="str">
        <f>IF('Communication Tracker'!B163="","",'Communication Tracker'!B163)</f>
        <v/>
      </c>
      <c r="C163" s="36" t="str">
        <f>IF('Communication Tracker'!C163="","",'Communication Tracker'!C163)</f>
        <v/>
      </c>
      <c r="D163" s="62" t="str">
        <f ca="1">IFERROR(IF(ISNUMBER('Communication Tracker'!M163),'Communication Tracker'!M163,""),"")</f>
        <v/>
      </c>
      <c r="E163" s="40" t="str">
        <f>IFERROR('Communication Tracker'!L163,"")</f>
        <v/>
      </c>
      <c r="F163" s="40" t="str">
        <f>IFERROR(IF(ISNUMBER('Communication Tracker'!N163),'Communication Tracker'!N163,""),"")</f>
        <v/>
      </c>
      <c r="G163" s="34" t="str">
        <f>IF('Communication Tracker'!O163="","",'Communication Tracker'!O163)</f>
        <v/>
      </c>
      <c r="H163" s="39" t="str">
        <f>IF('Communication Tracker'!B163="","",IF(OR('Communication Tracker'!O163="Positive Reply",'Communication Tracker'!O163="Accepted",'Communication Tracker'!O163="Rejected"),"Case closed - no action needed",IF(ISNUMBER('Communication Tracker'!M163),IF('Communication Tracker'!M163&gt;14,"URGENT - send a follow-up today",IF('Communication Tracker'!M163&gt;=7,"Prepare follow-up - send within "&amp;(14-'Communication Tracker'!M163)&amp;" days","Monitoring - next follow-up in "&amp;(14-'Communication Tracker'!M163)&amp;" days")),"")))</f>
        <v/>
      </c>
    </row>
    <row r="164" spans="1:8" ht="24" customHeight="1" x14ac:dyDescent="0.3">
      <c r="A164" s="61" t="str">
        <f>IF('Communication Tracker'!B164="","",161)</f>
        <v/>
      </c>
      <c r="B164" s="39" t="str">
        <f>IF('Communication Tracker'!B164="","",'Communication Tracker'!B164)</f>
        <v/>
      </c>
      <c r="C164" s="36" t="str">
        <f>IF('Communication Tracker'!C164="","",'Communication Tracker'!C164)</f>
        <v/>
      </c>
      <c r="D164" s="62" t="str">
        <f ca="1">IFERROR(IF(ISNUMBER('Communication Tracker'!M164),'Communication Tracker'!M164,""),"")</f>
        <v/>
      </c>
      <c r="E164" s="40" t="str">
        <f>IFERROR('Communication Tracker'!L164,"")</f>
        <v/>
      </c>
      <c r="F164" s="40" t="str">
        <f>IFERROR(IF(ISNUMBER('Communication Tracker'!N164),'Communication Tracker'!N164,""),"")</f>
        <v/>
      </c>
      <c r="G164" s="34" t="str">
        <f>IF('Communication Tracker'!O164="","",'Communication Tracker'!O164)</f>
        <v/>
      </c>
      <c r="H164" s="39" t="str">
        <f>IF('Communication Tracker'!B164="","",IF(OR('Communication Tracker'!O164="Positive Reply",'Communication Tracker'!O164="Accepted",'Communication Tracker'!O164="Rejected"),"Case closed - no action needed",IF(ISNUMBER('Communication Tracker'!M164),IF('Communication Tracker'!M164&gt;14,"URGENT - send a follow-up today",IF('Communication Tracker'!M164&gt;=7,"Prepare follow-up - send within "&amp;(14-'Communication Tracker'!M164)&amp;" days","Monitoring - next follow-up in "&amp;(14-'Communication Tracker'!M164)&amp;" days")),"")))</f>
        <v/>
      </c>
    </row>
    <row r="165" spans="1:8" ht="24" customHeight="1" x14ac:dyDescent="0.3">
      <c r="A165" s="61" t="str">
        <f>IF('Communication Tracker'!B165="","",162)</f>
        <v/>
      </c>
      <c r="B165" s="39" t="str">
        <f>IF('Communication Tracker'!B165="","",'Communication Tracker'!B165)</f>
        <v/>
      </c>
      <c r="C165" s="36" t="str">
        <f>IF('Communication Tracker'!C165="","",'Communication Tracker'!C165)</f>
        <v/>
      </c>
      <c r="D165" s="62" t="str">
        <f ca="1">IFERROR(IF(ISNUMBER('Communication Tracker'!M165),'Communication Tracker'!M165,""),"")</f>
        <v/>
      </c>
      <c r="E165" s="40" t="str">
        <f>IFERROR('Communication Tracker'!L165,"")</f>
        <v/>
      </c>
      <c r="F165" s="40" t="str">
        <f>IFERROR(IF(ISNUMBER('Communication Tracker'!N165),'Communication Tracker'!N165,""),"")</f>
        <v/>
      </c>
      <c r="G165" s="34" t="str">
        <f>IF('Communication Tracker'!O165="","",'Communication Tracker'!O165)</f>
        <v/>
      </c>
      <c r="H165" s="39" t="str">
        <f>IF('Communication Tracker'!B165="","",IF(OR('Communication Tracker'!O165="Positive Reply",'Communication Tracker'!O165="Accepted",'Communication Tracker'!O165="Rejected"),"Case closed - no action needed",IF(ISNUMBER('Communication Tracker'!M165),IF('Communication Tracker'!M165&gt;14,"URGENT - send a follow-up today",IF('Communication Tracker'!M165&gt;=7,"Prepare follow-up - send within "&amp;(14-'Communication Tracker'!M165)&amp;" days","Monitoring - next follow-up in "&amp;(14-'Communication Tracker'!M165)&amp;" days")),"")))</f>
        <v/>
      </c>
    </row>
    <row r="166" spans="1:8" ht="24" customHeight="1" x14ac:dyDescent="0.3">
      <c r="A166" s="61" t="str">
        <f>IF('Communication Tracker'!B166="","",163)</f>
        <v/>
      </c>
      <c r="B166" s="39" t="str">
        <f>IF('Communication Tracker'!B166="","",'Communication Tracker'!B166)</f>
        <v/>
      </c>
      <c r="C166" s="36" t="str">
        <f>IF('Communication Tracker'!C166="","",'Communication Tracker'!C166)</f>
        <v/>
      </c>
      <c r="D166" s="62" t="str">
        <f ca="1">IFERROR(IF(ISNUMBER('Communication Tracker'!M166),'Communication Tracker'!M166,""),"")</f>
        <v/>
      </c>
      <c r="E166" s="40" t="str">
        <f>IFERROR('Communication Tracker'!L166,"")</f>
        <v/>
      </c>
      <c r="F166" s="40" t="str">
        <f>IFERROR(IF(ISNUMBER('Communication Tracker'!N166),'Communication Tracker'!N166,""),"")</f>
        <v/>
      </c>
      <c r="G166" s="34" t="str">
        <f>IF('Communication Tracker'!O166="","",'Communication Tracker'!O166)</f>
        <v/>
      </c>
      <c r="H166" s="39" t="str">
        <f>IF('Communication Tracker'!B166="","",IF(OR('Communication Tracker'!O166="Positive Reply",'Communication Tracker'!O166="Accepted",'Communication Tracker'!O166="Rejected"),"Case closed - no action needed",IF(ISNUMBER('Communication Tracker'!M166),IF('Communication Tracker'!M166&gt;14,"URGENT - send a follow-up today",IF('Communication Tracker'!M166&gt;=7,"Prepare follow-up - send within "&amp;(14-'Communication Tracker'!M166)&amp;" days","Monitoring - next follow-up in "&amp;(14-'Communication Tracker'!M166)&amp;" days")),"")))</f>
        <v/>
      </c>
    </row>
    <row r="167" spans="1:8" ht="24" customHeight="1" x14ac:dyDescent="0.3">
      <c r="A167" s="61" t="str">
        <f>IF('Communication Tracker'!B167="","",164)</f>
        <v/>
      </c>
      <c r="B167" s="39" t="str">
        <f>IF('Communication Tracker'!B167="","",'Communication Tracker'!B167)</f>
        <v/>
      </c>
      <c r="C167" s="36" t="str">
        <f>IF('Communication Tracker'!C167="","",'Communication Tracker'!C167)</f>
        <v/>
      </c>
      <c r="D167" s="62" t="str">
        <f ca="1">IFERROR(IF(ISNUMBER('Communication Tracker'!M167),'Communication Tracker'!M167,""),"")</f>
        <v/>
      </c>
      <c r="E167" s="40" t="str">
        <f>IFERROR('Communication Tracker'!L167,"")</f>
        <v/>
      </c>
      <c r="F167" s="40" t="str">
        <f>IFERROR(IF(ISNUMBER('Communication Tracker'!N167),'Communication Tracker'!N167,""),"")</f>
        <v/>
      </c>
      <c r="G167" s="34" t="str">
        <f>IF('Communication Tracker'!O167="","",'Communication Tracker'!O167)</f>
        <v/>
      </c>
      <c r="H167" s="39" t="str">
        <f>IF('Communication Tracker'!B167="","",IF(OR('Communication Tracker'!O167="Positive Reply",'Communication Tracker'!O167="Accepted",'Communication Tracker'!O167="Rejected"),"Case closed - no action needed",IF(ISNUMBER('Communication Tracker'!M167),IF('Communication Tracker'!M167&gt;14,"URGENT - send a follow-up today",IF('Communication Tracker'!M167&gt;=7,"Prepare follow-up - send within "&amp;(14-'Communication Tracker'!M167)&amp;" days","Monitoring - next follow-up in "&amp;(14-'Communication Tracker'!M167)&amp;" days")),"")))</f>
        <v/>
      </c>
    </row>
    <row r="168" spans="1:8" ht="24" customHeight="1" x14ac:dyDescent="0.3">
      <c r="A168" s="61" t="str">
        <f>IF('Communication Tracker'!B168="","",165)</f>
        <v/>
      </c>
      <c r="B168" s="39" t="str">
        <f>IF('Communication Tracker'!B168="","",'Communication Tracker'!B168)</f>
        <v/>
      </c>
      <c r="C168" s="36" t="str">
        <f>IF('Communication Tracker'!C168="","",'Communication Tracker'!C168)</f>
        <v/>
      </c>
      <c r="D168" s="62" t="str">
        <f ca="1">IFERROR(IF(ISNUMBER('Communication Tracker'!M168),'Communication Tracker'!M168,""),"")</f>
        <v/>
      </c>
      <c r="E168" s="40" t="str">
        <f>IFERROR('Communication Tracker'!L168,"")</f>
        <v/>
      </c>
      <c r="F168" s="40" t="str">
        <f>IFERROR(IF(ISNUMBER('Communication Tracker'!N168),'Communication Tracker'!N168,""),"")</f>
        <v/>
      </c>
      <c r="G168" s="34" t="str">
        <f>IF('Communication Tracker'!O168="","",'Communication Tracker'!O168)</f>
        <v/>
      </c>
      <c r="H168" s="39" t="str">
        <f>IF('Communication Tracker'!B168="","",IF(OR('Communication Tracker'!O168="Positive Reply",'Communication Tracker'!O168="Accepted",'Communication Tracker'!O168="Rejected"),"Case closed - no action needed",IF(ISNUMBER('Communication Tracker'!M168),IF('Communication Tracker'!M168&gt;14,"URGENT - send a follow-up today",IF('Communication Tracker'!M168&gt;=7,"Prepare follow-up - send within "&amp;(14-'Communication Tracker'!M168)&amp;" days","Monitoring - next follow-up in "&amp;(14-'Communication Tracker'!M168)&amp;" days")),"")))</f>
        <v/>
      </c>
    </row>
    <row r="169" spans="1:8" ht="24" customHeight="1" x14ac:dyDescent="0.3">
      <c r="A169" s="61" t="str">
        <f>IF('Communication Tracker'!B169="","",166)</f>
        <v/>
      </c>
      <c r="B169" s="39" t="str">
        <f>IF('Communication Tracker'!B169="","",'Communication Tracker'!B169)</f>
        <v/>
      </c>
      <c r="C169" s="36" t="str">
        <f>IF('Communication Tracker'!C169="","",'Communication Tracker'!C169)</f>
        <v/>
      </c>
      <c r="D169" s="62" t="str">
        <f ca="1">IFERROR(IF(ISNUMBER('Communication Tracker'!M169),'Communication Tracker'!M169,""),"")</f>
        <v/>
      </c>
      <c r="E169" s="40" t="str">
        <f>IFERROR('Communication Tracker'!L169,"")</f>
        <v/>
      </c>
      <c r="F169" s="40" t="str">
        <f>IFERROR(IF(ISNUMBER('Communication Tracker'!N169),'Communication Tracker'!N169,""),"")</f>
        <v/>
      </c>
      <c r="G169" s="34" t="str">
        <f>IF('Communication Tracker'!O169="","",'Communication Tracker'!O169)</f>
        <v/>
      </c>
      <c r="H169" s="39" t="str">
        <f>IF('Communication Tracker'!B169="","",IF(OR('Communication Tracker'!O169="Positive Reply",'Communication Tracker'!O169="Accepted",'Communication Tracker'!O169="Rejected"),"Case closed - no action needed",IF(ISNUMBER('Communication Tracker'!M169),IF('Communication Tracker'!M169&gt;14,"URGENT - send a follow-up today",IF('Communication Tracker'!M169&gt;=7,"Prepare follow-up - send within "&amp;(14-'Communication Tracker'!M169)&amp;" days","Monitoring - next follow-up in "&amp;(14-'Communication Tracker'!M169)&amp;" days")),"")))</f>
        <v/>
      </c>
    </row>
    <row r="170" spans="1:8" ht="24" customHeight="1" x14ac:dyDescent="0.3">
      <c r="A170" s="61" t="str">
        <f>IF('Communication Tracker'!B170="","",167)</f>
        <v/>
      </c>
      <c r="B170" s="39" t="str">
        <f>IF('Communication Tracker'!B170="","",'Communication Tracker'!B170)</f>
        <v/>
      </c>
      <c r="C170" s="36" t="str">
        <f>IF('Communication Tracker'!C170="","",'Communication Tracker'!C170)</f>
        <v/>
      </c>
      <c r="D170" s="62" t="str">
        <f ca="1">IFERROR(IF(ISNUMBER('Communication Tracker'!M170),'Communication Tracker'!M170,""),"")</f>
        <v/>
      </c>
      <c r="E170" s="40" t="str">
        <f>IFERROR('Communication Tracker'!L170,"")</f>
        <v/>
      </c>
      <c r="F170" s="40" t="str">
        <f>IFERROR(IF(ISNUMBER('Communication Tracker'!N170),'Communication Tracker'!N170,""),"")</f>
        <v/>
      </c>
      <c r="G170" s="34" t="str">
        <f>IF('Communication Tracker'!O170="","",'Communication Tracker'!O170)</f>
        <v/>
      </c>
      <c r="H170" s="39" t="str">
        <f>IF('Communication Tracker'!B170="","",IF(OR('Communication Tracker'!O170="Positive Reply",'Communication Tracker'!O170="Accepted",'Communication Tracker'!O170="Rejected"),"Case closed - no action needed",IF(ISNUMBER('Communication Tracker'!M170),IF('Communication Tracker'!M170&gt;14,"URGENT - send a follow-up today",IF('Communication Tracker'!M170&gt;=7,"Prepare follow-up - send within "&amp;(14-'Communication Tracker'!M170)&amp;" days","Monitoring - next follow-up in "&amp;(14-'Communication Tracker'!M170)&amp;" days")),"")))</f>
        <v/>
      </c>
    </row>
    <row r="171" spans="1:8" ht="24" customHeight="1" x14ac:dyDescent="0.3">
      <c r="A171" s="61" t="str">
        <f>IF('Communication Tracker'!B171="","",168)</f>
        <v/>
      </c>
      <c r="B171" s="39" t="str">
        <f>IF('Communication Tracker'!B171="","",'Communication Tracker'!B171)</f>
        <v/>
      </c>
      <c r="C171" s="36" t="str">
        <f>IF('Communication Tracker'!C171="","",'Communication Tracker'!C171)</f>
        <v/>
      </c>
      <c r="D171" s="62" t="str">
        <f ca="1">IFERROR(IF(ISNUMBER('Communication Tracker'!M171),'Communication Tracker'!M171,""),"")</f>
        <v/>
      </c>
      <c r="E171" s="40" t="str">
        <f>IFERROR('Communication Tracker'!L171,"")</f>
        <v/>
      </c>
      <c r="F171" s="40" t="str">
        <f>IFERROR(IF(ISNUMBER('Communication Tracker'!N171),'Communication Tracker'!N171,""),"")</f>
        <v/>
      </c>
      <c r="G171" s="34" t="str">
        <f>IF('Communication Tracker'!O171="","",'Communication Tracker'!O171)</f>
        <v/>
      </c>
      <c r="H171" s="39" t="str">
        <f>IF('Communication Tracker'!B171="","",IF(OR('Communication Tracker'!O171="Positive Reply",'Communication Tracker'!O171="Accepted",'Communication Tracker'!O171="Rejected"),"Case closed - no action needed",IF(ISNUMBER('Communication Tracker'!M171),IF('Communication Tracker'!M171&gt;14,"URGENT - send a follow-up today",IF('Communication Tracker'!M171&gt;=7,"Prepare follow-up - send within "&amp;(14-'Communication Tracker'!M171)&amp;" days","Monitoring - next follow-up in "&amp;(14-'Communication Tracker'!M171)&amp;" days")),"")))</f>
        <v/>
      </c>
    </row>
    <row r="172" spans="1:8" ht="24" customHeight="1" x14ac:dyDescent="0.3">
      <c r="A172" s="61" t="str">
        <f>IF('Communication Tracker'!B172="","",169)</f>
        <v/>
      </c>
      <c r="B172" s="39" t="str">
        <f>IF('Communication Tracker'!B172="","",'Communication Tracker'!B172)</f>
        <v/>
      </c>
      <c r="C172" s="36" t="str">
        <f>IF('Communication Tracker'!C172="","",'Communication Tracker'!C172)</f>
        <v/>
      </c>
      <c r="D172" s="62" t="str">
        <f ca="1">IFERROR(IF(ISNUMBER('Communication Tracker'!M172),'Communication Tracker'!M172,""),"")</f>
        <v/>
      </c>
      <c r="E172" s="40" t="str">
        <f>IFERROR('Communication Tracker'!L172,"")</f>
        <v/>
      </c>
      <c r="F172" s="40" t="str">
        <f>IFERROR(IF(ISNUMBER('Communication Tracker'!N172),'Communication Tracker'!N172,""),"")</f>
        <v/>
      </c>
      <c r="G172" s="34" t="str">
        <f>IF('Communication Tracker'!O172="","",'Communication Tracker'!O172)</f>
        <v/>
      </c>
      <c r="H172" s="39" t="str">
        <f>IF('Communication Tracker'!B172="","",IF(OR('Communication Tracker'!O172="Positive Reply",'Communication Tracker'!O172="Accepted",'Communication Tracker'!O172="Rejected"),"Case closed - no action needed",IF(ISNUMBER('Communication Tracker'!M172),IF('Communication Tracker'!M172&gt;14,"URGENT - send a follow-up today",IF('Communication Tracker'!M172&gt;=7,"Prepare follow-up - send within "&amp;(14-'Communication Tracker'!M172)&amp;" days","Monitoring - next follow-up in "&amp;(14-'Communication Tracker'!M172)&amp;" days")),"")))</f>
        <v/>
      </c>
    </row>
    <row r="173" spans="1:8" ht="24" customHeight="1" x14ac:dyDescent="0.3">
      <c r="A173" s="61" t="str">
        <f>IF('Communication Tracker'!B173="","",170)</f>
        <v/>
      </c>
      <c r="B173" s="39" t="str">
        <f>IF('Communication Tracker'!B173="","",'Communication Tracker'!B173)</f>
        <v/>
      </c>
      <c r="C173" s="36" t="str">
        <f>IF('Communication Tracker'!C173="","",'Communication Tracker'!C173)</f>
        <v/>
      </c>
      <c r="D173" s="62" t="str">
        <f ca="1">IFERROR(IF(ISNUMBER('Communication Tracker'!M173),'Communication Tracker'!M173,""),"")</f>
        <v/>
      </c>
      <c r="E173" s="40" t="str">
        <f>IFERROR('Communication Tracker'!L173,"")</f>
        <v/>
      </c>
      <c r="F173" s="40" t="str">
        <f>IFERROR(IF(ISNUMBER('Communication Tracker'!N173),'Communication Tracker'!N173,""),"")</f>
        <v/>
      </c>
      <c r="G173" s="34" t="str">
        <f>IF('Communication Tracker'!O173="","",'Communication Tracker'!O173)</f>
        <v/>
      </c>
      <c r="H173" s="39" t="str">
        <f>IF('Communication Tracker'!B173="","",IF(OR('Communication Tracker'!O173="Positive Reply",'Communication Tracker'!O173="Accepted",'Communication Tracker'!O173="Rejected"),"Case closed - no action needed",IF(ISNUMBER('Communication Tracker'!M173),IF('Communication Tracker'!M173&gt;14,"URGENT - send a follow-up today",IF('Communication Tracker'!M173&gt;=7,"Prepare follow-up - send within "&amp;(14-'Communication Tracker'!M173)&amp;" days","Monitoring - next follow-up in "&amp;(14-'Communication Tracker'!M173)&amp;" days")),"")))</f>
        <v/>
      </c>
    </row>
    <row r="174" spans="1:8" ht="24" customHeight="1" x14ac:dyDescent="0.3">
      <c r="A174" s="61" t="str">
        <f>IF('Communication Tracker'!B174="","",171)</f>
        <v/>
      </c>
      <c r="B174" s="39" t="str">
        <f>IF('Communication Tracker'!B174="","",'Communication Tracker'!B174)</f>
        <v/>
      </c>
      <c r="C174" s="36" t="str">
        <f>IF('Communication Tracker'!C174="","",'Communication Tracker'!C174)</f>
        <v/>
      </c>
      <c r="D174" s="62" t="str">
        <f ca="1">IFERROR(IF(ISNUMBER('Communication Tracker'!M174),'Communication Tracker'!M174,""),"")</f>
        <v/>
      </c>
      <c r="E174" s="40" t="str">
        <f>IFERROR('Communication Tracker'!L174,"")</f>
        <v/>
      </c>
      <c r="F174" s="40" t="str">
        <f>IFERROR(IF(ISNUMBER('Communication Tracker'!N174),'Communication Tracker'!N174,""),"")</f>
        <v/>
      </c>
      <c r="G174" s="34" t="str">
        <f>IF('Communication Tracker'!O174="","",'Communication Tracker'!O174)</f>
        <v/>
      </c>
      <c r="H174" s="39" t="str">
        <f>IF('Communication Tracker'!B174="","",IF(OR('Communication Tracker'!O174="Positive Reply",'Communication Tracker'!O174="Accepted",'Communication Tracker'!O174="Rejected"),"Case closed - no action needed",IF(ISNUMBER('Communication Tracker'!M174),IF('Communication Tracker'!M174&gt;14,"URGENT - send a follow-up today",IF('Communication Tracker'!M174&gt;=7,"Prepare follow-up - send within "&amp;(14-'Communication Tracker'!M174)&amp;" days","Monitoring - next follow-up in "&amp;(14-'Communication Tracker'!M174)&amp;" days")),"")))</f>
        <v/>
      </c>
    </row>
    <row r="175" spans="1:8" ht="24" customHeight="1" x14ac:dyDescent="0.3">
      <c r="A175" s="61" t="str">
        <f>IF('Communication Tracker'!B175="","",172)</f>
        <v/>
      </c>
      <c r="B175" s="39" t="str">
        <f>IF('Communication Tracker'!B175="","",'Communication Tracker'!B175)</f>
        <v/>
      </c>
      <c r="C175" s="36" t="str">
        <f>IF('Communication Tracker'!C175="","",'Communication Tracker'!C175)</f>
        <v/>
      </c>
      <c r="D175" s="62" t="str">
        <f ca="1">IFERROR(IF(ISNUMBER('Communication Tracker'!M175),'Communication Tracker'!M175,""),"")</f>
        <v/>
      </c>
      <c r="E175" s="40" t="str">
        <f>IFERROR('Communication Tracker'!L175,"")</f>
        <v/>
      </c>
      <c r="F175" s="40" t="str">
        <f>IFERROR(IF(ISNUMBER('Communication Tracker'!N175),'Communication Tracker'!N175,""),"")</f>
        <v/>
      </c>
      <c r="G175" s="34" t="str">
        <f>IF('Communication Tracker'!O175="","",'Communication Tracker'!O175)</f>
        <v/>
      </c>
      <c r="H175" s="39" t="str">
        <f>IF('Communication Tracker'!B175="","",IF(OR('Communication Tracker'!O175="Positive Reply",'Communication Tracker'!O175="Accepted",'Communication Tracker'!O175="Rejected"),"Case closed - no action needed",IF(ISNUMBER('Communication Tracker'!M175),IF('Communication Tracker'!M175&gt;14,"URGENT - send a follow-up today",IF('Communication Tracker'!M175&gt;=7,"Prepare follow-up - send within "&amp;(14-'Communication Tracker'!M175)&amp;" days","Monitoring - next follow-up in "&amp;(14-'Communication Tracker'!M175)&amp;" days")),"")))</f>
        <v/>
      </c>
    </row>
    <row r="176" spans="1:8" ht="24" customHeight="1" x14ac:dyDescent="0.3">
      <c r="A176" s="61" t="str">
        <f>IF('Communication Tracker'!B176="","",173)</f>
        <v/>
      </c>
      <c r="B176" s="39" t="str">
        <f>IF('Communication Tracker'!B176="","",'Communication Tracker'!B176)</f>
        <v/>
      </c>
      <c r="C176" s="36" t="str">
        <f>IF('Communication Tracker'!C176="","",'Communication Tracker'!C176)</f>
        <v/>
      </c>
      <c r="D176" s="62" t="str">
        <f ca="1">IFERROR(IF(ISNUMBER('Communication Tracker'!M176),'Communication Tracker'!M176,""),"")</f>
        <v/>
      </c>
      <c r="E176" s="40" t="str">
        <f>IFERROR('Communication Tracker'!L176,"")</f>
        <v/>
      </c>
      <c r="F176" s="40" t="str">
        <f>IFERROR(IF(ISNUMBER('Communication Tracker'!N176),'Communication Tracker'!N176,""),"")</f>
        <v/>
      </c>
      <c r="G176" s="34" t="str">
        <f>IF('Communication Tracker'!O176="","",'Communication Tracker'!O176)</f>
        <v/>
      </c>
      <c r="H176" s="39" t="str">
        <f>IF('Communication Tracker'!B176="","",IF(OR('Communication Tracker'!O176="Positive Reply",'Communication Tracker'!O176="Accepted",'Communication Tracker'!O176="Rejected"),"Case closed - no action needed",IF(ISNUMBER('Communication Tracker'!M176),IF('Communication Tracker'!M176&gt;14,"URGENT - send a follow-up today",IF('Communication Tracker'!M176&gt;=7,"Prepare follow-up - send within "&amp;(14-'Communication Tracker'!M176)&amp;" days","Monitoring - next follow-up in "&amp;(14-'Communication Tracker'!M176)&amp;" days")),"")))</f>
        <v/>
      </c>
    </row>
    <row r="177" spans="1:8" ht="24" customHeight="1" x14ac:dyDescent="0.3">
      <c r="A177" s="61" t="str">
        <f>IF('Communication Tracker'!B177="","",174)</f>
        <v/>
      </c>
      <c r="B177" s="39" t="str">
        <f>IF('Communication Tracker'!B177="","",'Communication Tracker'!B177)</f>
        <v/>
      </c>
      <c r="C177" s="36" t="str">
        <f>IF('Communication Tracker'!C177="","",'Communication Tracker'!C177)</f>
        <v/>
      </c>
      <c r="D177" s="62" t="str">
        <f ca="1">IFERROR(IF(ISNUMBER('Communication Tracker'!M177),'Communication Tracker'!M177,""),"")</f>
        <v/>
      </c>
      <c r="E177" s="40" t="str">
        <f>IFERROR('Communication Tracker'!L177,"")</f>
        <v/>
      </c>
      <c r="F177" s="40" t="str">
        <f>IFERROR(IF(ISNUMBER('Communication Tracker'!N177),'Communication Tracker'!N177,""),"")</f>
        <v/>
      </c>
      <c r="G177" s="34" t="str">
        <f>IF('Communication Tracker'!O177="","",'Communication Tracker'!O177)</f>
        <v/>
      </c>
      <c r="H177" s="39" t="str">
        <f>IF('Communication Tracker'!B177="","",IF(OR('Communication Tracker'!O177="Positive Reply",'Communication Tracker'!O177="Accepted",'Communication Tracker'!O177="Rejected"),"Case closed - no action needed",IF(ISNUMBER('Communication Tracker'!M177),IF('Communication Tracker'!M177&gt;14,"URGENT - send a follow-up today",IF('Communication Tracker'!M177&gt;=7,"Prepare follow-up - send within "&amp;(14-'Communication Tracker'!M177)&amp;" days","Monitoring - next follow-up in "&amp;(14-'Communication Tracker'!M177)&amp;" days")),"")))</f>
        <v/>
      </c>
    </row>
    <row r="178" spans="1:8" ht="24" customHeight="1" x14ac:dyDescent="0.3">
      <c r="A178" s="61" t="str">
        <f>IF('Communication Tracker'!B178="","",175)</f>
        <v/>
      </c>
      <c r="B178" s="39" t="str">
        <f>IF('Communication Tracker'!B178="","",'Communication Tracker'!B178)</f>
        <v/>
      </c>
      <c r="C178" s="36" t="str">
        <f>IF('Communication Tracker'!C178="","",'Communication Tracker'!C178)</f>
        <v/>
      </c>
      <c r="D178" s="62" t="str">
        <f ca="1">IFERROR(IF(ISNUMBER('Communication Tracker'!M178),'Communication Tracker'!M178,""),"")</f>
        <v/>
      </c>
      <c r="E178" s="40" t="str">
        <f>IFERROR('Communication Tracker'!L178,"")</f>
        <v/>
      </c>
      <c r="F178" s="40" t="str">
        <f>IFERROR(IF(ISNUMBER('Communication Tracker'!N178),'Communication Tracker'!N178,""),"")</f>
        <v/>
      </c>
      <c r="G178" s="34" t="str">
        <f>IF('Communication Tracker'!O178="","",'Communication Tracker'!O178)</f>
        <v/>
      </c>
      <c r="H178" s="39" t="str">
        <f>IF('Communication Tracker'!B178="","",IF(OR('Communication Tracker'!O178="Positive Reply",'Communication Tracker'!O178="Accepted",'Communication Tracker'!O178="Rejected"),"Case closed - no action needed",IF(ISNUMBER('Communication Tracker'!M178),IF('Communication Tracker'!M178&gt;14,"URGENT - send a follow-up today",IF('Communication Tracker'!M178&gt;=7,"Prepare follow-up - send within "&amp;(14-'Communication Tracker'!M178)&amp;" days","Monitoring - next follow-up in "&amp;(14-'Communication Tracker'!M178)&amp;" days")),"")))</f>
        <v/>
      </c>
    </row>
    <row r="179" spans="1:8" ht="24" customHeight="1" x14ac:dyDescent="0.3">
      <c r="A179" s="61" t="str">
        <f>IF('Communication Tracker'!B179="","",176)</f>
        <v/>
      </c>
      <c r="B179" s="39" t="str">
        <f>IF('Communication Tracker'!B179="","",'Communication Tracker'!B179)</f>
        <v/>
      </c>
      <c r="C179" s="36" t="str">
        <f>IF('Communication Tracker'!C179="","",'Communication Tracker'!C179)</f>
        <v/>
      </c>
      <c r="D179" s="62" t="str">
        <f ca="1">IFERROR(IF(ISNUMBER('Communication Tracker'!M179),'Communication Tracker'!M179,""),"")</f>
        <v/>
      </c>
      <c r="E179" s="40" t="str">
        <f>IFERROR('Communication Tracker'!L179,"")</f>
        <v/>
      </c>
      <c r="F179" s="40" t="str">
        <f>IFERROR(IF(ISNUMBER('Communication Tracker'!N179),'Communication Tracker'!N179,""),"")</f>
        <v/>
      </c>
      <c r="G179" s="34" t="str">
        <f>IF('Communication Tracker'!O179="","",'Communication Tracker'!O179)</f>
        <v/>
      </c>
      <c r="H179" s="39" t="str">
        <f>IF('Communication Tracker'!B179="","",IF(OR('Communication Tracker'!O179="Positive Reply",'Communication Tracker'!O179="Accepted",'Communication Tracker'!O179="Rejected"),"Case closed - no action needed",IF(ISNUMBER('Communication Tracker'!M179),IF('Communication Tracker'!M179&gt;14,"URGENT - send a follow-up today",IF('Communication Tracker'!M179&gt;=7,"Prepare follow-up - send within "&amp;(14-'Communication Tracker'!M179)&amp;" days","Monitoring - next follow-up in "&amp;(14-'Communication Tracker'!M179)&amp;" days")),"")))</f>
        <v/>
      </c>
    </row>
    <row r="180" spans="1:8" ht="24" customHeight="1" x14ac:dyDescent="0.3">
      <c r="A180" s="61" t="str">
        <f>IF('Communication Tracker'!B180="","",177)</f>
        <v/>
      </c>
      <c r="B180" s="39" t="str">
        <f>IF('Communication Tracker'!B180="","",'Communication Tracker'!B180)</f>
        <v/>
      </c>
      <c r="C180" s="36" t="str">
        <f>IF('Communication Tracker'!C180="","",'Communication Tracker'!C180)</f>
        <v/>
      </c>
      <c r="D180" s="62" t="str">
        <f ca="1">IFERROR(IF(ISNUMBER('Communication Tracker'!M180),'Communication Tracker'!M180,""),"")</f>
        <v/>
      </c>
      <c r="E180" s="40" t="str">
        <f>IFERROR('Communication Tracker'!L180,"")</f>
        <v/>
      </c>
      <c r="F180" s="40" t="str">
        <f>IFERROR(IF(ISNUMBER('Communication Tracker'!N180),'Communication Tracker'!N180,""),"")</f>
        <v/>
      </c>
      <c r="G180" s="34" t="str">
        <f>IF('Communication Tracker'!O180="","",'Communication Tracker'!O180)</f>
        <v/>
      </c>
      <c r="H180" s="39" t="str">
        <f>IF('Communication Tracker'!B180="","",IF(OR('Communication Tracker'!O180="Positive Reply",'Communication Tracker'!O180="Accepted",'Communication Tracker'!O180="Rejected"),"Case closed - no action needed",IF(ISNUMBER('Communication Tracker'!M180),IF('Communication Tracker'!M180&gt;14,"URGENT - send a follow-up today",IF('Communication Tracker'!M180&gt;=7,"Prepare follow-up - send within "&amp;(14-'Communication Tracker'!M180)&amp;" days","Monitoring - next follow-up in "&amp;(14-'Communication Tracker'!M180)&amp;" days")),"")))</f>
        <v/>
      </c>
    </row>
    <row r="181" spans="1:8" ht="24" customHeight="1" x14ac:dyDescent="0.3">
      <c r="A181" s="61" t="str">
        <f>IF('Communication Tracker'!B181="","",178)</f>
        <v/>
      </c>
      <c r="B181" s="39" t="str">
        <f>IF('Communication Tracker'!B181="","",'Communication Tracker'!B181)</f>
        <v/>
      </c>
      <c r="C181" s="36" t="str">
        <f>IF('Communication Tracker'!C181="","",'Communication Tracker'!C181)</f>
        <v/>
      </c>
      <c r="D181" s="62" t="str">
        <f ca="1">IFERROR(IF(ISNUMBER('Communication Tracker'!M181),'Communication Tracker'!M181,""),"")</f>
        <v/>
      </c>
      <c r="E181" s="40" t="str">
        <f>IFERROR('Communication Tracker'!L181,"")</f>
        <v/>
      </c>
      <c r="F181" s="40" t="str">
        <f>IFERROR(IF(ISNUMBER('Communication Tracker'!N181),'Communication Tracker'!N181,""),"")</f>
        <v/>
      </c>
      <c r="G181" s="34" t="str">
        <f>IF('Communication Tracker'!O181="","",'Communication Tracker'!O181)</f>
        <v/>
      </c>
      <c r="H181" s="39" t="str">
        <f>IF('Communication Tracker'!B181="","",IF(OR('Communication Tracker'!O181="Positive Reply",'Communication Tracker'!O181="Accepted",'Communication Tracker'!O181="Rejected"),"Case closed - no action needed",IF(ISNUMBER('Communication Tracker'!M181),IF('Communication Tracker'!M181&gt;14,"URGENT - send a follow-up today",IF('Communication Tracker'!M181&gt;=7,"Prepare follow-up - send within "&amp;(14-'Communication Tracker'!M181)&amp;" days","Monitoring - next follow-up in "&amp;(14-'Communication Tracker'!M181)&amp;" days")),"")))</f>
        <v/>
      </c>
    </row>
    <row r="182" spans="1:8" ht="24" customHeight="1" x14ac:dyDescent="0.3">
      <c r="A182" s="61" t="str">
        <f>IF('Communication Tracker'!B182="","",179)</f>
        <v/>
      </c>
      <c r="B182" s="39" t="str">
        <f>IF('Communication Tracker'!B182="","",'Communication Tracker'!B182)</f>
        <v/>
      </c>
      <c r="C182" s="36" t="str">
        <f>IF('Communication Tracker'!C182="","",'Communication Tracker'!C182)</f>
        <v/>
      </c>
      <c r="D182" s="62" t="str">
        <f ca="1">IFERROR(IF(ISNUMBER('Communication Tracker'!M182),'Communication Tracker'!M182,""),"")</f>
        <v/>
      </c>
      <c r="E182" s="40" t="str">
        <f>IFERROR('Communication Tracker'!L182,"")</f>
        <v/>
      </c>
      <c r="F182" s="40" t="str">
        <f>IFERROR(IF(ISNUMBER('Communication Tracker'!N182),'Communication Tracker'!N182,""),"")</f>
        <v/>
      </c>
      <c r="G182" s="34" t="str">
        <f>IF('Communication Tracker'!O182="","",'Communication Tracker'!O182)</f>
        <v/>
      </c>
      <c r="H182" s="39" t="str">
        <f>IF('Communication Tracker'!B182="","",IF(OR('Communication Tracker'!O182="Positive Reply",'Communication Tracker'!O182="Accepted",'Communication Tracker'!O182="Rejected"),"Case closed - no action needed",IF(ISNUMBER('Communication Tracker'!M182),IF('Communication Tracker'!M182&gt;14,"URGENT - send a follow-up today",IF('Communication Tracker'!M182&gt;=7,"Prepare follow-up - send within "&amp;(14-'Communication Tracker'!M182)&amp;" days","Monitoring - next follow-up in "&amp;(14-'Communication Tracker'!M182)&amp;" days")),"")))</f>
        <v/>
      </c>
    </row>
    <row r="183" spans="1:8" ht="24" customHeight="1" x14ac:dyDescent="0.3">
      <c r="A183" s="61" t="str">
        <f>IF('Communication Tracker'!B183="","",180)</f>
        <v/>
      </c>
      <c r="B183" s="39" t="str">
        <f>IF('Communication Tracker'!B183="","",'Communication Tracker'!B183)</f>
        <v/>
      </c>
      <c r="C183" s="36" t="str">
        <f>IF('Communication Tracker'!C183="","",'Communication Tracker'!C183)</f>
        <v/>
      </c>
      <c r="D183" s="62" t="str">
        <f ca="1">IFERROR(IF(ISNUMBER('Communication Tracker'!M183),'Communication Tracker'!M183,""),"")</f>
        <v/>
      </c>
      <c r="E183" s="40" t="str">
        <f>IFERROR('Communication Tracker'!L183,"")</f>
        <v/>
      </c>
      <c r="F183" s="40" t="str">
        <f>IFERROR(IF(ISNUMBER('Communication Tracker'!N183),'Communication Tracker'!N183,""),"")</f>
        <v/>
      </c>
      <c r="G183" s="34" t="str">
        <f>IF('Communication Tracker'!O183="","",'Communication Tracker'!O183)</f>
        <v/>
      </c>
      <c r="H183" s="39" t="str">
        <f>IF('Communication Tracker'!B183="","",IF(OR('Communication Tracker'!O183="Positive Reply",'Communication Tracker'!O183="Accepted",'Communication Tracker'!O183="Rejected"),"Case closed - no action needed",IF(ISNUMBER('Communication Tracker'!M183),IF('Communication Tracker'!M183&gt;14,"URGENT - send a follow-up today",IF('Communication Tracker'!M183&gt;=7,"Prepare follow-up - send within "&amp;(14-'Communication Tracker'!M183)&amp;" days","Monitoring - next follow-up in "&amp;(14-'Communication Tracker'!M183)&amp;" days")),"")))</f>
        <v/>
      </c>
    </row>
    <row r="184" spans="1:8" ht="24" customHeight="1" x14ac:dyDescent="0.3">
      <c r="A184" s="61" t="str">
        <f>IF('Communication Tracker'!B184="","",181)</f>
        <v/>
      </c>
      <c r="B184" s="39" t="str">
        <f>IF('Communication Tracker'!B184="","",'Communication Tracker'!B184)</f>
        <v/>
      </c>
      <c r="C184" s="36" t="str">
        <f>IF('Communication Tracker'!C184="","",'Communication Tracker'!C184)</f>
        <v/>
      </c>
      <c r="D184" s="62" t="str">
        <f ca="1">IFERROR(IF(ISNUMBER('Communication Tracker'!M184),'Communication Tracker'!M184,""),"")</f>
        <v/>
      </c>
      <c r="E184" s="40" t="str">
        <f>IFERROR('Communication Tracker'!L184,"")</f>
        <v/>
      </c>
      <c r="F184" s="40" t="str">
        <f>IFERROR(IF(ISNUMBER('Communication Tracker'!N184),'Communication Tracker'!N184,""),"")</f>
        <v/>
      </c>
      <c r="G184" s="34" t="str">
        <f>IF('Communication Tracker'!O184="","",'Communication Tracker'!O184)</f>
        <v/>
      </c>
      <c r="H184" s="39" t="str">
        <f>IF('Communication Tracker'!B184="","",IF(OR('Communication Tracker'!O184="Positive Reply",'Communication Tracker'!O184="Accepted",'Communication Tracker'!O184="Rejected"),"Case closed - no action needed",IF(ISNUMBER('Communication Tracker'!M184),IF('Communication Tracker'!M184&gt;14,"URGENT - send a follow-up today",IF('Communication Tracker'!M184&gt;=7,"Prepare follow-up - send within "&amp;(14-'Communication Tracker'!M184)&amp;" days","Monitoring - next follow-up in "&amp;(14-'Communication Tracker'!M184)&amp;" days")),"")))</f>
        <v/>
      </c>
    </row>
    <row r="185" spans="1:8" ht="24" customHeight="1" x14ac:dyDescent="0.3">
      <c r="A185" s="61" t="str">
        <f>IF('Communication Tracker'!B185="","",182)</f>
        <v/>
      </c>
      <c r="B185" s="39" t="str">
        <f>IF('Communication Tracker'!B185="","",'Communication Tracker'!B185)</f>
        <v/>
      </c>
      <c r="C185" s="36" t="str">
        <f>IF('Communication Tracker'!C185="","",'Communication Tracker'!C185)</f>
        <v/>
      </c>
      <c r="D185" s="62" t="str">
        <f ca="1">IFERROR(IF(ISNUMBER('Communication Tracker'!M185),'Communication Tracker'!M185,""),"")</f>
        <v/>
      </c>
      <c r="E185" s="40" t="str">
        <f>IFERROR('Communication Tracker'!L185,"")</f>
        <v/>
      </c>
      <c r="F185" s="40" t="str">
        <f>IFERROR(IF(ISNUMBER('Communication Tracker'!N185),'Communication Tracker'!N185,""),"")</f>
        <v/>
      </c>
      <c r="G185" s="34" t="str">
        <f>IF('Communication Tracker'!O185="","",'Communication Tracker'!O185)</f>
        <v/>
      </c>
      <c r="H185" s="39" t="str">
        <f>IF('Communication Tracker'!B185="","",IF(OR('Communication Tracker'!O185="Positive Reply",'Communication Tracker'!O185="Accepted",'Communication Tracker'!O185="Rejected"),"Case closed - no action needed",IF(ISNUMBER('Communication Tracker'!M185),IF('Communication Tracker'!M185&gt;14,"URGENT - send a follow-up today",IF('Communication Tracker'!M185&gt;=7,"Prepare follow-up - send within "&amp;(14-'Communication Tracker'!M185)&amp;" days","Monitoring - next follow-up in "&amp;(14-'Communication Tracker'!M185)&amp;" days")),"")))</f>
        <v/>
      </c>
    </row>
    <row r="186" spans="1:8" ht="24" customHeight="1" x14ac:dyDescent="0.3">
      <c r="A186" s="61" t="str">
        <f>IF('Communication Tracker'!B186="","",183)</f>
        <v/>
      </c>
      <c r="B186" s="39" t="str">
        <f>IF('Communication Tracker'!B186="","",'Communication Tracker'!B186)</f>
        <v/>
      </c>
      <c r="C186" s="36" t="str">
        <f>IF('Communication Tracker'!C186="","",'Communication Tracker'!C186)</f>
        <v/>
      </c>
      <c r="D186" s="62" t="str">
        <f ca="1">IFERROR(IF(ISNUMBER('Communication Tracker'!M186),'Communication Tracker'!M186,""),"")</f>
        <v/>
      </c>
      <c r="E186" s="40" t="str">
        <f>IFERROR('Communication Tracker'!L186,"")</f>
        <v/>
      </c>
      <c r="F186" s="40" t="str">
        <f>IFERROR(IF(ISNUMBER('Communication Tracker'!N186),'Communication Tracker'!N186,""),"")</f>
        <v/>
      </c>
      <c r="G186" s="34" t="str">
        <f>IF('Communication Tracker'!O186="","",'Communication Tracker'!O186)</f>
        <v/>
      </c>
      <c r="H186" s="39" t="str">
        <f>IF('Communication Tracker'!B186="","",IF(OR('Communication Tracker'!O186="Positive Reply",'Communication Tracker'!O186="Accepted",'Communication Tracker'!O186="Rejected"),"Case closed - no action needed",IF(ISNUMBER('Communication Tracker'!M186),IF('Communication Tracker'!M186&gt;14,"URGENT - send a follow-up today",IF('Communication Tracker'!M186&gt;=7,"Prepare follow-up - send within "&amp;(14-'Communication Tracker'!M186)&amp;" days","Monitoring - next follow-up in "&amp;(14-'Communication Tracker'!M186)&amp;" days")),"")))</f>
        <v/>
      </c>
    </row>
    <row r="187" spans="1:8" ht="24" customHeight="1" x14ac:dyDescent="0.3">
      <c r="A187" s="61" t="str">
        <f>IF('Communication Tracker'!B187="","",184)</f>
        <v/>
      </c>
      <c r="B187" s="39" t="str">
        <f>IF('Communication Tracker'!B187="","",'Communication Tracker'!B187)</f>
        <v/>
      </c>
      <c r="C187" s="36" t="str">
        <f>IF('Communication Tracker'!C187="","",'Communication Tracker'!C187)</f>
        <v/>
      </c>
      <c r="D187" s="62" t="str">
        <f ca="1">IFERROR(IF(ISNUMBER('Communication Tracker'!M187),'Communication Tracker'!M187,""),"")</f>
        <v/>
      </c>
      <c r="E187" s="40" t="str">
        <f>IFERROR('Communication Tracker'!L187,"")</f>
        <v/>
      </c>
      <c r="F187" s="40" t="str">
        <f>IFERROR(IF(ISNUMBER('Communication Tracker'!N187),'Communication Tracker'!N187,""),"")</f>
        <v/>
      </c>
      <c r="G187" s="34" t="str">
        <f>IF('Communication Tracker'!O187="","",'Communication Tracker'!O187)</f>
        <v/>
      </c>
      <c r="H187" s="39" t="str">
        <f>IF('Communication Tracker'!B187="","",IF(OR('Communication Tracker'!O187="Positive Reply",'Communication Tracker'!O187="Accepted",'Communication Tracker'!O187="Rejected"),"Case closed - no action needed",IF(ISNUMBER('Communication Tracker'!M187),IF('Communication Tracker'!M187&gt;14,"URGENT - send a follow-up today",IF('Communication Tracker'!M187&gt;=7,"Prepare follow-up - send within "&amp;(14-'Communication Tracker'!M187)&amp;" days","Monitoring - next follow-up in "&amp;(14-'Communication Tracker'!M187)&amp;" days")),"")))</f>
        <v/>
      </c>
    </row>
    <row r="188" spans="1:8" ht="24" customHeight="1" x14ac:dyDescent="0.3">
      <c r="A188" s="61" t="str">
        <f>IF('Communication Tracker'!B188="","",185)</f>
        <v/>
      </c>
      <c r="B188" s="39" t="str">
        <f>IF('Communication Tracker'!B188="","",'Communication Tracker'!B188)</f>
        <v/>
      </c>
      <c r="C188" s="36" t="str">
        <f>IF('Communication Tracker'!C188="","",'Communication Tracker'!C188)</f>
        <v/>
      </c>
      <c r="D188" s="62" t="str">
        <f ca="1">IFERROR(IF(ISNUMBER('Communication Tracker'!M188),'Communication Tracker'!M188,""),"")</f>
        <v/>
      </c>
      <c r="E188" s="40" t="str">
        <f>IFERROR('Communication Tracker'!L188,"")</f>
        <v/>
      </c>
      <c r="F188" s="40" t="str">
        <f>IFERROR(IF(ISNUMBER('Communication Tracker'!N188),'Communication Tracker'!N188,""),"")</f>
        <v/>
      </c>
      <c r="G188" s="34" t="str">
        <f>IF('Communication Tracker'!O188="","",'Communication Tracker'!O188)</f>
        <v/>
      </c>
      <c r="H188" s="39" t="str">
        <f>IF('Communication Tracker'!B188="","",IF(OR('Communication Tracker'!O188="Positive Reply",'Communication Tracker'!O188="Accepted",'Communication Tracker'!O188="Rejected"),"Case closed - no action needed",IF(ISNUMBER('Communication Tracker'!M188),IF('Communication Tracker'!M188&gt;14,"URGENT - send a follow-up today",IF('Communication Tracker'!M188&gt;=7,"Prepare follow-up - send within "&amp;(14-'Communication Tracker'!M188)&amp;" days","Monitoring - next follow-up in "&amp;(14-'Communication Tracker'!M188)&amp;" days")),"")))</f>
        <v/>
      </c>
    </row>
    <row r="189" spans="1:8" ht="24" customHeight="1" x14ac:dyDescent="0.3">
      <c r="A189" s="61" t="str">
        <f>IF('Communication Tracker'!B189="","",186)</f>
        <v/>
      </c>
      <c r="B189" s="39" t="str">
        <f>IF('Communication Tracker'!B189="","",'Communication Tracker'!B189)</f>
        <v/>
      </c>
      <c r="C189" s="36" t="str">
        <f>IF('Communication Tracker'!C189="","",'Communication Tracker'!C189)</f>
        <v/>
      </c>
      <c r="D189" s="62" t="str">
        <f ca="1">IFERROR(IF(ISNUMBER('Communication Tracker'!M189),'Communication Tracker'!M189,""),"")</f>
        <v/>
      </c>
      <c r="E189" s="40" t="str">
        <f>IFERROR('Communication Tracker'!L189,"")</f>
        <v/>
      </c>
      <c r="F189" s="40" t="str">
        <f>IFERROR(IF(ISNUMBER('Communication Tracker'!N189),'Communication Tracker'!N189,""),"")</f>
        <v/>
      </c>
      <c r="G189" s="34" t="str">
        <f>IF('Communication Tracker'!O189="","",'Communication Tracker'!O189)</f>
        <v/>
      </c>
      <c r="H189" s="39" t="str">
        <f>IF('Communication Tracker'!B189="","",IF(OR('Communication Tracker'!O189="Positive Reply",'Communication Tracker'!O189="Accepted",'Communication Tracker'!O189="Rejected"),"Case closed - no action needed",IF(ISNUMBER('Communication Tracker'!M189),IF('Communication Tracker'!M189&gt;14,"URGENT - send a follow-up today",IF('Communication Tracker'!M189&gt;=7,"Prepare follow-up - send within "&amp;(14-'Communication Tracker'!M189)&amp;" days","Monitoring - next follow-up in "&amp;(14-'Communication Tracker'!M189)&amp;" days")),"")))</f>
        <v/>
      </c>
    </row>
    <row r="190" spans="1:8" ht="24" customHeight="1" x14ac:dyDescent="0.3">
      <c r="A190" s="61" t="str">
        <f>IF('Communication Tracker'!B190="","",187)</f>
        <v/>
      </c>
      <c r="B190" s="39" t="str">
        <f>IF('Communication Tracker'!B190="","",'Communication Tracker'!B190)</f>
        <v/>
      </c>
      <c r="C190" s="36" t="str">
        <f>IF('Communication Tracker'!C190="","",'Communication Tracker'!C190)</f>
        <v/>
      </c>
      <c r="D190" s="62" t="str">
        <f ca="1">IFERROR(IF(ISNUMBER('Communication Tracker'!M190),'Communication Tracker'!M190,""),"")</f>
        <v/>
      </c>
      <c r="E190" s="40" t="str">
        <f>IFERROR('Communication Tracker'!L190,"")</f>
        <v/>
      </c>
      <c r="F190" s="40" t="str">
        <f>IFERROR(IF(ISNUMBER('Communication Tracker'!N190),'Communication Tracker'!N190,""),"")</f>
        <v/>
      </c>
      <c r="G190" s="34" t="str">
        <f>IF('Communication Tracker'!O190="","",'Communication Tracker'!O190)</f>
        <v/>
      </c>
      <c r="H190" s="39" t="str">
        <f>IF('Communication Tracker'!B190="","",IF(OR('Communication Tracker'!O190="Positive Reply",'Communication Tracker'!O190="Accepted",'Communication Tracker'!O190="Rejected"),"Case closed - no action needed",IF(ISNUMBER('Communication Tracker'!M190),IF('Communication Tracker'!M190&gt;14,"URGENT - send a follow-up today",IF('Communication Tracker'!M190&gt;=7,"Prepare follow-up - send within "&amp;(14-'Communication Tracker'!M190)&amp;" days","Monitoring - next follow-up in "&amp;(14-'Communication Tracker'!M190)&amp;" days")),"")))</f>
        <v/>
      </c>
    </row>
    <row r="191" spans="1:8" ht="24" customHeight="1" x14ac:dyDescent="0.3">
      <c r="A191" s="61" t="str">
        <f>IF('Communication Tracker'!B191="","",188)</f>
        <v/>
      </c>
      <c r="B191" s="39" t="str">
        <f>IF('Communication Tracker'!B191="","",'Communication Tracker'!B191)</f>
        <v/>
      </c>
      <c r="C191" s="36" t="str">
        <f>IF('Communication Tracker'!C191="","",'Communication Tracker'!C191)</f>
        <v/>
      </c>
      <c r="D191" s="62" t="str">
        <f ca="1">IFERROR(IF(ISNUMBER('Communication Tracker'!M191),'Communication Tracker'!M191,""),"")</f>
        <v/>
      </c>
      <c r="E191" s="40" t="str">
        <f>IFERROR('Communication Tracker'!L191,"")</f>
        <v/>
      </c>
      <c r="F191" s="40" t="str">
        <f>IFERROR(IF(ISNUMBER('Communication Tracker'!N191),'Communication Tracker'!N191,""),"")</f>
        <v/>
      </c>
      <c r="G191" s="34" t="str">
        <f>IF('Communication Tracker'!O191="","",'Communication Tracker'!O191)</f>
        <v/>
      </c>
      <c r="H191" s="39" t="str">
        <f>IF('Communication Tracker'!B191="","",IF(OR('Communication Tracker'!O191="Positive Reply",'Communication Tracker'!O191="Accepted",'Communication Tracker'!O191="Rejected"),"Case closed - no action needed",IF(ISNUMBER('Communication Tracker'!M191),IF('Communication Tracker'!M191&gt;14,"URGENT - send a follow-up today",IF('Communication Tracker'!M191&gt;=7,"Prepare follow-up - send within "&amp;(14-'Communication Tracker'!M191)&amp;" days","Monitoring - next follow-up in "&amp;(14-'Communication Tracker'!M191)&amp;" days")),"")))</f>
        <v/>
      </c>
    </row>
    <row r="192" spans="1:8" ht="24" customHeight="1" x14ac:dyDescent="0.3">
      <c r="A192" s="61" t="str">
        <f>IF('Communication Tracker'!B192="","",189)</f>
        <v/>
      </c>
      <c r="B192" s="39" t="str">
        <f>IF('Communication Tracker'!B192="","",'Communication Tracker'!B192)</f>
        <v/>
      </c>
      <c r="C192" s="36" t="str">
        <f>IF('Communication Tracker'!C192="","",'Communication Tracker'!C192)</f>
        <v/>
      </c>
      <c r="D192" s="62" t="str">
        <f ca="1">IFERROR(IF(ISNUMBER('Communication Tracker'!M192),'Communication Tracker'!M192,""),"")</f>
        <v/>
      </c>
      <c r="E192" s="40" t="str">
        <f>IFERROR('Communication Tracker'!L192,"")</f>
        <v/>
      </c>
      <c r="F192" s="40" t="str">
        <f>IFERROR(IF(ISNUMBER('Communication Tracker'!N192),'Communication Tracker'!N192,""),"")</f>
        <v/>
      </c>
      <c r="G192" s="34" t="str">
        <f>IF('Communication Tracker'!O192="","",'Communication Tracker'!O192)</f>
        <v/>
      </c>
      <c r="H192" s="39" t="str">
        <f>IF('Communication Tracker'!B192="","",IF(OR('Communication Tracker'!O192="Positive Reply",'Communication Tracker'!O192="Accepted",'Communication Tracker'!O192="Rejected"),"Case closed - no action needed",IF(ISNUMBER('Communication Tracker'!M192),IF('Communication Tracker'!M192&gt;14,"URGENT - send a follow-up today",IF('Communication Tracker'!M192&gt;=7,"Prepare follow-up - send within "&amp;(14-'Communication Tracker'!M192)&amp;" days","Monitoring - next follow-up in "&amp;(14-'Communication Tracker'!M192)&amp;" days")),"")))</f>
        <v/>
      </c>
    </row>
    <row r="193" spans="1:8" ht="24" customHeight="1" x14ac:dyDescent="0.3">
      <c r="A193" s="61" t="str">
        <f>IF('Communication Tracker'!B193="","",190)</f>
        <v/>
      </c>
      <c r="B193" s="39" t="str">
        <f>IF('Communication Tracker'!B193="","",'Communication Tracker'!B193)</f>
        <v/>
      </c>
      <c r="C193" s="36" t="str">
        <f>IF('Communication Tracker'!C193="","",'Communication Tracker'!C193)</f>
        <v/>
      </c>
      <c r="D193" s="62" t="str">
        <f ca="1">IFERROR(IF(ISNUMBER('Communication Tracker'!M193),'Communication Tracker'!M193,""),"")</f>
        <v/>
      </c>
      <c r="E193" s="40" t="str">
        <f>IFERROR('Communication Tracker'!L193,"")</f>
        <v/>
      </c>
      <c r="F193" s="40" t="str">
        <f>IFERROR(IF(ISNUMBER('Communication Tracker'!N193),'Communication Tracker'!N193,""),"")</f>
        <v/>
      </c>
      <c r="G193" s="34" t="str">
        <f>IF('Communication Tracker'!O193="","",'Communication Tracker'!O193)</f>
        <v/>
      </c>
      <c r="H193" s="39" t="str">
        <f>IF('Communication Tracker'!B193="","",IF(OR('Communication Tracker'!O193="Positive Reply",'Communication Tracker'!O193="Accepted",'Communication Tracker'!O193="Rejected"),"Case closed - no action needed",IF(ISNUMBER('Communication Tracker'!M193),IF('Communication Tracker'!M193&gt;14,"URGENT - send a follow-up today",IF('Communication Tracker'!M193&gt;=7,"Prepare follow-up - send within "&amp;(14-'Communication Tracker'!M193)&amp;" days","Monitoring - next follow-up in "&amp;(14-'Communication Tracker'!M193)&amp;" days")),"")))</f>
        <v/>
      </c>
    </row>
    <row r="194" spans="1:8" ht="24" customHeight="1" x14ac:dyDescent="0.3">
      <c r="A194" s="61" t="str">
        <f>IF('Communication Tracker'!B194="","",191)</f>
        <v/>
      </c>
      <c r="B194" s="39" t="str">
        <f>IF('Communication Tracker'!B194="","",'Communication Tracker'!B194)</f>
        <v/>
      </c>
      <c r="C194" s="36" t="str">
        <f>IF('Communication Tracker'!C194="","",'Communication Tracker'!C194)</f>
        <v/>
      </c>
      <c r="D194" s="62" t="str">
        <f ca="1">IFERROR(IF(ISNUMBER('Communication Tracker'!M194),'Communication Tracker'!M194,""),"")</f>
        <v/>
      </c>
      <c r="E194" s="40" t="str">
        <f>IFERROR('Communication Tracker'!L194,"")</f>
        <v/>
      </c>
      <c r="F194" s="40" t="str">
        <f>IFERROR(IF(ISNUMBER('Communication Tracker'!N194),'Communication Tracker'!N194,""),"")</f>
        <v/>
      </c>
      <c r="G194" s="34" t="str">
        <f>IF('Communication Tracker'!O194="","",'Communication Tracker'!O194)</f>
        <v/>
      </c>
      <c r="H194" s="39" t="str">
        <f>IF('Communication Tracker'!B194="","",IF(OR('Communication Tracker'!O194="Positive Reply",'Communication Tracker'!O194="Accepted",'Communication Tracker'!O194="Rejected"),"Case closed - no action needed",IF(ISNUMBER('Communication Tracker'!M194),IF('Communication Tracker'!M194&gt;14,"URGENT - send a follow-up today",IF('Communication Tracker'!M194&gt;=7,"Prepare follow-up - send within "&amp;(14-'Communication Tracker'!M194)&amp;" days","Monitoring - next follow-up in "&amp;(14-'Communication Tracker'!M194)&amp;" days")),"")))</f>
        <v/>
      </c>
    </row>
    <row r="195" spans="1:8" ht="24" customHeight="1" x14ac:dyDescent="0.3">
      <c r="A195" s="61" t="str">
        <f>IF('Communication Tracker'!B195="","",192)</f>
        <v/>
      </c>
      <c r="B195" s="39" t="str">
        <f>IF('Communication Tracker'!B195="","",'Communication Tracker'!B195)</f>
        <v/>
      </c>
      <c r="C195" s="36" t="str">
        <f>IF('Communication Tracker'!C195="","",'Communication Tracker'!C195)</f>
        <v/>
      </c>
      <c r="D195" s="62" t="str">
        <f ca="1">IFERROR(IF(ISNUMBER('Communication Tracker'!M195),'Communication Tracker'!M195,""),"")</f>
        <v/>
      </c>
      <c r="E195" s="40" t="str">
        <f>IFERROR('Communication Tracker'!L195,"")</f>
        <v/>
      </c>
      <c r="F195" s="40" t="str">
        <f>IFERROR(IF(ISNUMBER('Communication Tracker'!N195),'Communication Tracker'!N195,""),"")</f>
        <v/>
      </c>
      <c r="G195" s="34" t="str">
        <f>IF('Communication Tracker'!O195="","",'Communication Tracker'!O195)</f>
        <v/>
      </c>
      <c r="H195" s="39" t="str">
        <f>IF('Communication Tracker'!B195="","",IF(OR('Communication Tracker'!O195="Positive Reply",'Communication Tracker'!O195="Accepted",'Communication Tracker'!O195="Rejected"),"Case closed - no action needed",IF(ISNUMBER('Communication Tracker'!M195),IF('Communication Tracker'!M195&gt;14,"URGENT - send a follow-up today",IF('Communication Tracker'!M195&gt;=7,"Prepare follow-up - send within "&amp;(14-'Communication Tracker'!M195)&amp;" days","Monitoring - next follow-up in "&amp;(14-'Communication Tracker'!M195)&amp;" days")),"")))</f>
        <v/>
      </c>
    </row>
    <row r="196" spans="1:8" ht="24" customHeight="1" x14ac:dyDescent="0.3">
      <c r="A196" s="61" t="str">
        <f>IF('Communication Tracker'!B196="","",193)</f>
        <v/>
      </c>
      <c r="B196" s="39" t="str">
        <f>IF('Communication Tracker'!B196="","",'Communication Tracker'!B196)</f>
        <v/>
      </c>
      <c r="C196" s="36" t="str">
        <f>IF('Communication Tracker'!C196="","",'Communication Tracker'!C196)</f>
        <v/>
      </c>
      <c r="D196" s="62" t="str">
        <f ca="1">IFERROR(IF(ISNUMBER('Communication Tracker'!M196),'Communication Tracker'!M196,""),"")</f>
        <v/>
      </c>
      <c r="E196" s="40" t="str">
        <f>IFERROR('Communication Tracker'!L196,"")</f>
        <v/>
      </c>
      <c r="F196" s="40" t="str">
        <f>IFERROR(IF(ISNUMBER('Communication Tracker'!N196),'Communication Tracker'!N196,""),"")</f>
        <v/>
      </c>
      <c r="G196" s="34" t="str">
        <f>IF('Communication Tracker'!O196="","",'Communication Tracker'!O196)</f>
        <v/>
      </c>
      <c r="H196" s="39" t="str">
        <f>IF('Communication Tracker'!B196="","",IF(OR('Communication Tracker'!O196="Positive Reply",'Communication Tracker'!O196="Accepted",'Communication Tracker'!O196="Rejected"),"Case closed - no action needed",IF(ISNUMBER('Communication Tracker'!M196),IF('Communication Tracker'!M196&gt;14,"URGENT - send a follow-up today",IF('Communication Tracker'!M196&gt;=7,"Prepare follow-up - send within "&amp;(14-'Communication Tracker'!M196)&amp;" days","Monitoring - next follow-up in "&amp;(14-'Communication Tracker'!M196)&amp;" days")),"")))</f>
        <v/>
      </c>
    </row>
    <row r="197" spans="1:8" ht="24" customHeight="1" x14ac:dyDescent="0.3">
      <c r="A197" s="61" t="str">
        <f>IF('Communication Tracker'!B197="","",194)</f>
        <v/>
      </c>
      <c r="B197" s="39" t="str">
        <f>IF('Communication Tracker'!B197="","",'Communication Tracker'!B197)</f>
        <v/>
      </c>
      <c r="C197" s="36" t="str">
        <f>IF('Communication Tracker'!C197="","",'Communication Tracker'!C197)</f>
        <v/>
      </c>
      <c r="D197" s="62" t="str">
        <f ca="1">IFERROR(IF(ISNUMBER('Communication Tracker'!M197),'Communication Tracker'!M197,""),"")</f>
        <v/>
      </c>
      <c r="E197" s="40" t="str">
        <f>IFERROR('Communication Tracker'!L197,"")</f>
        <v/>
      </c>
      <c r="F197" s="40" t="str">
        <f>IFERROR(IF(ISNUMBER('Communication Tracker'!N197),'Communication Tracker'!N197,""),"")</f>
        <v/>
      </c>
      <c r="G197" s="34" t="str">
        <f>IF('Communication Tracker'!O197="","",'Communication Tracker'!O197)</f>
        <v/>
      </c>
      <c r="H197" s="39" t="str">
        <f>IF('Communication Tracker'!B197="","",IF(OR('Communication Tracker'!O197="Positive Reply",'Communication Tracker'!O197="Accepted",'Communication Tracker'!O197="Rejected"),"Case closed - no action needed",IF(ISNUMBER('Communication Tracker'!M197),IF('Communication Tracker'!M197&gt;14,"URGENT - send a follow-up today",IF('Communication Tracker'!M197&gt;=7,"Prepare follow-up - send within "&amp;(14-'Communication Tracker'!M197)&amp;" days","Monitoring - next follow-up in "&amp;(14-'Communication Tracker'!M197)&amp;" days")),"")))</f>
        <v/>
      </c>
    </row>
    <row r="198" spans="1:8" ht="24" customHeight="1" x14ac:dyDescent="0.3">
      <c r="A198" s="61" t="str">
        <f>IF('Communication Tracker'!B198="","",195)</f>
        <v/>
      </c>
      <c r="B198" s="39" t="str">
        <f>IF('Communication Tracker'!B198="","",'Communication Tracker'!B198)</f>
        <v/>
      </c>
      <c r="C198" s="36" t="str">
        <f>IF('Communication Tracker'!C198="","",'Communication Tracker'!C198)</f>
        <v/>
      </c>
      <c r="D198" s="62" t="str">
        <f ca="1">IFERROR(IF(ISNUMBER('Communication Tracker'!M198),'Communication Tracker'!M198,""),"")</f>
        <v/>
      </c>
      <c r="E198" s="40" t="str">
        <f>IFERROR('Communication Tracker'!L198,"")</f>
        <v/>
      </c>
      <c r="F198" s="40" t="str">
        <f>IFERROR(IF(ISNUMBER('Communication Tracker'!N198),'Communication Tracker'!N198,""),"")</f>
        <v/>
      </c>
      <c r="G198" s="34" t="str">
        <f>IF('Communication Tracker'!O198="","",'Communication Tracker'!O198)</f>
        <v/>
      </c>
      <c r="H198" s="39" t="str">
        <f>IF('Communication Tracker'!B198="","",IF(OR('Communication Tracker'!O198="Positive Reply",'Communication Tracker'!O198="Accepted",'Communication Tracker'!O198="Rejected"),"Case closed - no action needed",IF(ISNUMBER('Communication Tracker'!M198),IF('Communication Tracker'!M198&gt;14,"URGENT - send a follow-up today",IF('Communication Tracker'!M198&gt;=7,"Prepare follow-up - send within "&amp;(14-'Communication Tracker'!M198)&amp;" days","Monitoring - next follow-up in "&amp;(14-'Communication Tracker'!M198)&amp;" days")),"")))</f>
        <v/>
      </c>
    </row>
    <row r="199" spans="1:8" ht="24" customHeight="1" x14ac:dyDescent="0.3">
      <c r="A199" s="61" t="str">
        <f>IF('Communication Tracker'!B199="","",196)</f>
        <v/>
      </c>
      <c r="B199" s="39" t="str">
        <f>IF('Communication Tracker'!B199="","",'Communication Tracker'!B199)</f>
        <v/>
      </c>
      <c r="C199" s="36" t="str">
        <f>IF('Communication Tracker'!C199="","",'Communication Tracker'!C199)</f>
        <v/>
      </c>
      <c r="D199" s="62" t="str">
        <f ca="1">IFERROR(IF(ISNUMBER('Communication Tracker'!M199),'Communication Tracker'!M199,""),"")</f>
        <v/>
      </c>
      <c r="E199" s="40" t="str">
        <f>IFERROR('Communication Tracker'!L199,"")</f>
        <v/>
      </c>
      <c r="F199" s="40" t="str">
        <f>IFERROR(IF(ISNUMBER('Communication Tracker'!N199),'Communication Tracker'!N199,""),"")</f>
        <v/>
      </c>
      <c r="G199" s="34" t="str">
        <f>IF('Communication Tracker'!O199="","",'Communication Tracker'!O199)</f>
        <v/>
      </c>
      <c r="H199" s="39" t="str">
        <f>IF('Communication Tracker'!B199="","",IF(OR('Communication Tracker'!O199="Positive Reply",'Communication Tracker'!O199="Accepted",'Communication Tracker'!O199="Rejected"),"Case closed - no action needed",IF(ISNUMBER('Communication Tracker'!M199),IF('Communication Tracker'!M199&gt;14,"URGENT - send a follow-up today",IF('Communication Tracker'!M199&gt;=7,"Prepare follow-up - send within "&amp;(14-'Communication Tracker'!M199)&amp;" days","Monitoring - next follow-up in "&amp;(14-'Communication Tracker'!M199)&amp;" days")),"")))</f>
        <v/>
      </c>
    </row>
    <row r="200" spans="1:8" ht="24" customHeight="1" x14ac:dyDescent="0.3">
      <c r="A200" s="61" t="str">
        <f>IF('Communication Tracker'!B200="","",197)</f>
        <v/>
      </c>
      <c r="B200" s="39" t="str">
        <f>IF('Communication Tracker'!B200="","",'Communication Tracker'!B200)</f>
        <v/>
      </c>
      <c r="C200" s="36" t="str">
        <f>IF('Communication Tracker'!C200="","",'Communication Tracker'!C200)</f>
        <v/>
      </c>
      <c r="D200" s="62" t="str">
        <f ca="1">IFERROR(IF(ISNUMBER('Communication Tracker'!M200),'Communication Tracker'!M200,""),"")</f>
        <v/>
      </c>
      <c r="E200" s="40" t="str">
        <f>IFERROR('Communication Tracker'!L200,"")</f>
        <v/>
      </c>
      <c r="F200" s="40" t="str">
        <f>IFERROR(IF(ISNUMBER('Communication Tracker'!N200),'Communication Tracker'!N200,""),"")</f>
        <v/>
      </c>
      <c r="G200" s="34" t="str">
        <f>IF('Communication Tracker'!O200="","",'Communication Tracker'!O200)</f>
        <v/>
      </c>
      <c r="H200" s="39" t="str">
        <f>IF('Communication Tracker'!B200="","",IF(OR('Communication Tracker'!O200="Positive Reply",'Communication Tracker'!O200="Accepted",'Communication Tracker'!O200="Rejected"),"Case closed - no action needed",IF(ISNUMBER('Communication Tracker'!M200),IF('Communication Tracker'!M200&gt;14,"URGENT - send a follow-up today",IF('Communication Tracker'!M200&gt;=7,"Prepare follow-up - send within "&amp;(14-'Communication Tracker'!M200)&amp;" days","Monitoring - next follow-up in "&amp;(14-'Communication Tracker'!M200)&amp;" days")),"")))</f>
        <v/>
      </c>
    </row>
  </sheetData>
  <mergeCells count="3">
    <mergeCell ref="A2:F2"/>
    <mergeCell ref="G2:H2"/>
    <mergeCell ref="A1:H1"/>
  </mergeCells>
  <conditionalFormatting sqref="A4:H200">
    <cfRule type="expression" dxfId="2" priority="1">
      <formula>AND(ISNUMBER($D4),$D4&gt;14)</formula>
    </cfRule>
    <cfRule type="expression" dxfId="1" priority="2">
      <formula>AND(ISNUMBER($D4),$D4&gt;=7,$D4&lt;=14)</formula>
    </cfRule>
    <cfRule type="expression" dxfId="0" priority="3">
      <formula>AND(ISNUMBER($D4),$D4&lt;7)</formula>
    </cfRule>
  </conditionalFormatting>
  <hyperlinks>
    <hyperlink ref="G2" location="'Dashboard'!A1" display="◀ Back to Dashboard"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7B34"/>
  </sheetPr>
  <dimension ref="A1:E10"/>
  <sheetViews>
    <sheetView showGridLines="0" workbookViewId="0">
      <pane ySplit="3" topLeftCell="A4" activePane="bottomLeft" state="frozen"/>
      <selection pane="bottomLeft"/>
    </sheetView>
  </sheetViews>
  <sheetFormatPr defaultRowHeight="14.4" x14ac:dyDescent="0.3"/>
  <cols>
    <col min="1" max="1" width="11" customWidth="1"/>
    <col min="2" max="2" width="24" customWidth="1"/>
    <col min="3" max="3" width="30" customWidth="1"/>
    <col min="4" max="4" width="42" customWidth="1"/>
    <col min="5" max="5" width="92" customWidth="1"/>
  </cols>
  <sheetData>
    <row r="1" spans="1:5" ht="34.049999999999997" customHeight="1" x14ac:dyDescent="0.3">
      <c r="A1" s="78" t="s">
        <v>232</v>
      </c>
      <c r="B1" s="69"/>
      <c r="C1" s="69"/>
      <c r="D1" s="69"/>
      <c r="E1" s="69"/>
    </row>
    <row r="2" spans="1:5" ht="19.95" customHeight="1" x14ac:dyDescent="0.3">
      <c r="A2" s="79" t="s">
        <v>233</v>
      </c>
      <c r="B2" s="69"/>
      <c r="C2" s="69"/>
      <c r="D2" s="80" t="s">
        <v>63</v>
      </c>
      <c r="E2" s="69"/>
    </row>
    <row r="3" spans="1:5" ht="34.049999999999997" customHeight="1" x14ac:dyDescent="0.3">
      <c r="A3" s="30" t="s">
        <v>234</v>
      </c>
      <c r="B3" s="30" t="s">
        <v>180</v>
      </c>
      <c r="C3" s="30" t="s">
        <v>235</v>
      </c>
      <c r="D3" s="30" t="s">
        <v>236</v>
      </c>
      <c r="E3" s="30" t="s">
        <v>237</v>
      </c>
    </row>
    <row r="4" spans="1:5" ht="175.05" customHeight="1" x14ac:dyDescent="0.3">
      <c r="A4" s="63" t="s">
        <v>188</v>
      </c>
      <c r="B4" s="64" t="s">
        <v>238</v>
      </c>
      <c r="C4" s="39" t="s">
        <v>239</v>
      </c>
      <c r="D4" s="39" t="s">
        <v>240</v>
      </c>
      <c r="E4" s="65" t="s">
        <v>241</v>
      </c>
    </row>
    <row r="5" spans="1:5" ht="175.05" customHeight="1" x14ac:dyDescent="0.3">
      <c r="A5" s="63" t="s">
        <v>191</v>
      </c>
      <c r="B5" s="64" t="s">
        <v>242</v>
      </c>
      <c r="C5" s="39" t="s">
        <v>243</v>
      </c>
      <c r="D5" s="39" t="s">
        <v>244</v>
      </c>
      <c r="E5" s="65" t="s">
        <v>245</v>
      </c>
    </row>
    <row r="6" spans="1:5" ht="175.05" customHeight="1" x14ac:dyDescent="0.3">
      <c r="A6" s="63" t="s">
        <v>197</v>
      </c>
      <c r="B6" s="64" t="s">
        <v>246</v>
      </c>
      <c r="C6" s="39" t="s">
        <v>247</v>
      </c>
      <c r="D6" s="39" t="s">
        <v>248</v>
      </c>
      <c r="E6" s="65" t="s">
        <v>249</v>
      </c>
    </row>
    <row r="7" spans="1:5" ht="175.05" customHeight="1" x14ac:dyDescent="0.3">
      <c r="A7" s="63" t="s">
        <v>250</v>
      </c>
      <c r="B7" s="64" t="s">
        <v>251</v>
      </c>
      <c r="C7" s="39" t="s">
        <v>252</v>
      </c>
      <c r="D7" s="39" t="s">
        <v>253</v>
      </c>
      <c r="E7" s="65" t="s">
        <v>254</v>
      </c>
    </row>
    <row r="8" spans="1:5" ht="175.05" customHeight="1" x14ac:dyDescent="0.3">
      <c r="A8" s="63" t="s">
        <v>255</v>
      </c>
      <c r="B8" s="64" t="s">
        <v>256</v>
      </c>
      <c r="C8" s="39" t="s">
        <v>257</v>
      </c>
      <c r="D8" s="39" t="s">
        <v>258</v>
      </c>
      <c r="E8" s="65" t="s">
        <v>259</v>
      </c>
    </row>
    <row r="10" spans="1:5" ht="28.05" customHeight="1" x14ac:dyDescent="0.3">
      <c r="A10" s="81" t="s">
        <v>260</v>
      </c>
      <c r="B10" s="69"/>
      <c r="C10" s="69"/>
      <c r="D10" s="69"/>
      <c r="E10" s="69"/>
    </row>
  </sheetData>
  <mergeCells count="4">
    <mergeCell ref="A10:E10"/>
    <mergeCell ref="A1:E1"/>
    <mergeCell ref="A2:C2"/>
    <mergeCell ref="D2:E2"/>
  </mergeCells>
  <hyperlinks>
    <hyperlink ref="D2" location="'Dashboard'!A1" display="◀ Back to Dashboard"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A6B87"/>
  </sheetPr>
  <dimension ref="A1:C11"/>
  <sheetViews>
    <sheetView showGridLines="0" workbookViewId="0"/>
  </sheetViews>
  <sheetFormatPr defaultRowHeight="14.4" x14ac:dyDescent="0.3"/>
  <cols>
    <col min="1" max="1" width="26" customWidth="1"/>
    <col min="2" max="2" width="100" customWidth="1"/>
    <col min="3" max="3" width="3" customWidth="1"/>
  </cols>
  <sheetData>
    <row r="1" spans="1:3" ht="34.049999999999997" customHeight="1" x14ac:dyDescent="0.3">
      <c r="A1" s="78" t="s">
        <v>261</v>
      </c>
      <c r="B1" s="69"/>
      <c r="C1" s="69"/>
    </row>
    <row r="2" spans="1:3" ht="19.95" customHeight="1" x14ac:dyDescent="0.3">
      <c r="A2" s="79" t="s">
        <v>262</v>
      </c>
      <c r="B2" s="80" t="s">
        <v>63</v>
      </c>
      <c r="C2" s="69"/>
    </row>
    <row r="3" spans="1:3" ht="34.049999999999997" customHeight="1" x14ac:dyDescent="0.3">
      <c r="A3" s="30" t="s">
        <v>263</v>
      </c>
      <c r="B3" s="30" t="s">
        <v>264</v>
      </c>
    </row>
    <row r="4" spans="1:3" ht="43.95" customHeight="1" x14ac:dyDescent="0.3">
      <c r="A4" s="66" t="s">
        <v>265</v>
      </c>
      <c r="B4" s="39" t="s">
        <v>266</v>
      </c>
    </row>
    <row r="5" spans="1:3" ht="43.95" customHeight="1" x14ac:dyDescent="0.3">
      <c r="A5" s="66" t="s">
        <v>267</v>
      </c>
      <c r="B5" s="39" t="s">
        <v>268</v>
      </c>
    </row>
    <row r="6" spans="1:3" ht="43.95" customHeight="1" x14ac:dyDescent="0.3">
      <c r="A6" s="66" t="s">
        <v>269</v>
      </c>
      <c r="B6" s="39" t="s">
        <v>270</v>
      </c>
    </row>
    <row r="7" spans="1:3" ht="43.95" customHeight="1" x14ac:dyDescent="0.3">
      <c r="A7" s="66" t="s">
        <v>271</v>
      </c>
      <c r="B7" s="39" t="s">
        <v>272</v>
      </c>
    </row>
    <row r="8" spans="1:3" ht="43.95" customHeight="1" x14ac:dyDescent="0.3">
      <c r="A8" s="66" t="s">
        <v>273</v>
      </c>
      <c r="B8" s="39" t="s">
        <v>274</v>
      </c>
    </row>
    <row r="9" spans="1:3" ht="43.95" customHeight="1" x14ac:dyDescent="0.3">
      <c r="A9" s="66" t="s">
        <v>275</v>
      </c>
      <c r="B9" s="39" t="s">
        <v>276</v>
      </c>
    </row>
    <row r="10" spans="1:3" ht="43.95" customHeight="1" x14ac:dyDescent="0.3">
      <c r="A10" s="66" t="s">
        <v>277</v>
      </c>
      <c r="B10" s="39" t="s">
        <v>278</v>
      </c>
    </row>
    <row r="11" spans="1:3" ht="43.95" customHeight="1" x14ac:dyDescent="0.3">
      <c r="A11" s="66" t="s">
        <v>279</v>
      </c>
      <c r="B11" s="67" t="s">
        <v>280</v>
      </c>
    </row>
  </sheetData>
  <mergeCells count="3">
    <mergeCell ref="A1:C1"/>
    <mergeCell ref="A2"/>
    <mergeCell ref="B2:C2"/>
  </mergeCells>
  <hyperlinks>
    <hyperlink ref="B2" location="'Dashboard'!A1" display="◀ Back to Dashboard" xr:uid="{00000000-0004-0000-0600-000000000000}"/>
    <hyperlink ref="B11" r:id="rId1" xr:uid="{00000000-0004-0000-0600-00000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Position Database</vt:lpstr>
      <vt:lpstr>Communication Tracker</vt:lpstr>
      <vt:lpstr>Response Management</vt:lpstr>
      <vt:lpstr>Follow-up Alerts</vt:lpstr>
      <vt:lpstr>Email Templates</vt:lpstr>
      <vt:lpstr>How It 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PhD &amp; Postdoc Application Tracker</dc:title>
  <dc:creator>ApplyAbroadLab.com</dc:creator>
  <cp:lastModifiedBy>  </cp:lastModifiedBy>
  <dcterms:created xsi:type="dcterms:W3CDTF">2026-09-28T12:30:32Z</dcterms:created>
  <dcterms:modified xsi:type="dcterms:W3CDTF">2026-09-28T13:14:23Z</dcterms:modified>
</cp:coreProperties>
</file>